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2188" windowHeight="9180" tabRatio="600" firstSheet="0" activeTab="0" autoFilterDateGrouping="1"/>
  </bookViews>
  <sheets>
    <sheet name="Sheet1" sheetId="1" state="visible" r:id="rId1"/>
    <sheet name="Sheet2" sheetId="2" state="visible" r:id="rId2"/>
    <sheet name="Sheet3" sheetId="3" state="visible" r:id="rId3"/>
  </sheets>
  <definedNames/>
  <calcPr calcId="191029" fullCalcOnLoad="1"/>
</workbook>
</file>

<file path=xl/styles.xml><?xml version="1.0" encoding="utf-8"?>
<styleSheet xmlns="http://schemas.openxmlformats.org/spreadsheetml/2006/main">
  <numFmts count="0"/>
  <fonts count="27">
    <font>
      <name val="宋体"/>
      <charset val="134"/>
      <color theme="1"/>
      <sz val="11"/>
      <scheme val="minor"/>
    </font>
    <font>
      <name val="Calibri"/>
      <charset val="134"/>
      <sz val="11"/>
    </font>
    <font>
      <name val="宋体"/>
      <charset val="134"/>
      <color indexed="8"/>
      <sz val="11"/>
      <scheme val="minor"/>
    </font>
    <font>
      <name val="Calibri"/>
      <charset val="134"/>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Calibri"/>
      <charset val="134"/>
      <color indexed="10"/>
      <sz val="11"/>
    </font>
    <font>
      <name val="Calibri"/>
      <charset val="134"/>
      <color indexed="11"/>
      <sz val="11"/>
    </font>
    <font>
      <name val="宋体"/>
      <charset val="134"/>
      <sz val="11"/>
    </font>
    <font>
      <name val="宋体"/>
      <charset val="0"/>
      <color indexed="8"/>
      <sz val="11"/>
      <scheme val="minor"/>
    </font>
  </fonts>
  <fills count="36">
    <fill>
      <patternFill/>
    </fill>
    <fill>
      <patternFill patternType="gray125"/>
    </fill>
    <fill>
      <patternFill patternType="solid">
        <fgColor rgb="FFFF0000"/>
        <bgColor indexed="64"/>
      </patternFill>
    </fill>
    <fill>
      <patternFill patternType="solid">
        <fgColor theme="4"/>
        <bgColor indexed="64"/>
      </patternFill>
    </fill>
    <fill>
      <patternFill patternType="solid">
        <fgColor rgb="FFFFC000"/>
        <bgColor indexed="64"/>
      </patternFill>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6" borderId="2"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3" applyAlignment="1">
      <alignment vertical="center"/>
    </xf>
    <xf numFmtId="0" fontId="10" fillId="0" borderId="3" applyAlignment="1">
      <alignment vertical="center"/>
    </xf>
    <xf numFmtId="0" fontId="11" fillId="0" borderId="4" applyAlignment="1">
      <alignment vertical="center"/>
    </xf>
    <xf numFmtId="0" fontId="11" fillId="0" borderId="0" applyAlignment="1">
      <alignment vertical="center"/>
    </xf>
    <xf numFmtId="0" fontId="12" fillId="7" borderId="5" applyAlignment="1">
      <alignment vertical="center"/>
    </xf>
    <xf numFmtId="0" fontId="13" fillId="8" borderId="6" applyAlignment="1">
      <alignment vertical="center"/>
    </xf>
    <xf numFmtId="0" fontId="14" fillId="8" borderId="5" applyAlignment="1">
      <alignment vertical="center"/>
    </xf>
    <xf numFmtId="0" fontId="15" fillId="9" borderId="7" applyAlignment="1">
      <alignment vertical="center"/>
    </xf>
    <xf numFmtId="0" fontId="16" fillId="0" borderId="8" applyAlignment="1">
      <alignment vertical="center"/>
    </xf>
    <xf numFmtId="0" fontId="17" fillId="0" borderId="9" applyAlignment="1">
      <alignment vertical="center"/>
    </xf>
    <xf numFmtId="0" fontId="18" fillId="10" borderId="0" applyAlignment="1">
      <alignment vertical="center"/>
    </xf>
    <xf numFmtId="0" fontId="19" fillId="11" borderId="0" applyAlignment="1">
      <alignment vertical="center"/>
    </xf>
    <xf numFmtId="0" fontId="20" fillId="12" borderId="0" applyAlignment="1">
      <alignment vertical="center"/>
    </xf>
    <xf numFmtId="0" fontId="21" fillId="3" borderId="0" applyAlignment="1">
      <alignment vertical="center"/>
    </xf>
    <xf numFmtId="0" fontId="22" fillId="13" borderId="0" applyAlignment="1">
      <alignment vertical="center"/>
    </xf>
    <xf numFmtId="0" fontId="22" fillId="14" borderId="0" applyAlignment="1">
      <alignment vertical="center"/>
    </xf>
    <xf numFmtId="0" fontId="21" fillId="15" borderId="0" applyAlignment="1">
      <alignment vertical="center"/>
    </xf>
    <xf numFmtId="0" fontId="21" fillId="16" borderId="0" applyAlignment="1">
      <alignment vertical="center"/>
    </xf>
    <xf numFmtId="0" fontId="22" fillId="17" borderId="0" applyAlignment="1">
      <alignment vertical="center"/>
    </xf>
    <xf numFmtId="0" fontId="22" fillId="18" borderId="0" applyAlignment="1">
      <alignment vertical="center"/>
    </xf>
    <xf numFmtId="0" fontId="21" fillId="19" borderId="0" applyAlignment="1">
      <alignment vertical="center"/>
    </xf>
    <xf numFmtId="0" fontId="21" fillId="20" borderId="0" applyAlignment="1">
      <alignment vertical="center"/>
    </xf>
    <xf numFmtId="0" fontId="22" fillId="21" borderId="0" applyAlignment="1">
      <alignment vertical="center"/>
    </xf>
    <xf numFmtId="0" fontId="22" fillId="22" borderId="0" applyAlignment="1">
      <alignment vertical="center"/>
    </xf>
    <xf numFmtId="0" fontId="21" fillId="23" borderId="0" applyAlignment="1">
      <alignment vertical="center"/>
    </xf>
    <xf numFmtId="0" fontId="21" fillId="24" borderId="0" applyAlignment="1">
      <alignment vertical="center"/>
    </xf>
    <xf numFmtId="0" fontId="22" fillId="25" borderId="0" applyAlignment="1">
      <alignment vertical="center"/>
    </xf>
    <xf numFmtId="0" fontId="22" fillId="26" borderId="0" applyAlignment="1">
      <alignment vertical="center"/>
    </xf>
    <xf numFmtId="0" fontId="21" fillId="27" borderId="0" applyAlignment="1">
      <alignment vertical="center"/>
    </xf>
    <xf numFmtId="0" fontId="21" fillId="28" borderId="0" applyAlignment="1">
      <alignment vertical="center"/>
    </xf>
    <xf numFmtId="0" fontId="22" fillId="29" borderId="0" applyAlignment="1">
      <alignment vertical="center"/>
    </xf>
    <xf numFmtId="0" fontId="22" fillId="30" borderId="0" applyAlignment="1">
      <alignment vertical="center"/>
    </xf>
    <xf numFmtId="0" fontId="21" fillId="31" borderId="0" applyAlignment="1">
      <alignment vertical="center"/>
    </xf>
    <xf numFmtId="0" fontId="21" fillId="32" borderId="0" applyAlignment="1">
      <alignment vertical="center"/>
    </xf>
    <xf numFmtId="0" fontId="22" fillId="33" borderId="0" applyAlignment="1">
      <alignment vertical="center"/>
    </xf>
    <xf numFmtId="0" fontId="22" fillId="34" borderId="0" applyAlignment="1">
      <alignment vertical="center"/>
    </xf>
    <xf numFmtId="0" fontId="21" fillId="35" borderId="0" applyAlignment="1">
      <alignment vertical="center"/>
    </xf>
    <xf numFmtId="0" fontId="2" fillId="0" borderId="0" applyAlignment="1">
      <alignment vertical="center"/>
    </xf>
  </cellStyleXfs>
  <cellXfs count="17">
    <xf numFmtId="0" fontId="0" fillId="0" borderId="0" applyAlignment="1" pivotButton="0" quotePrefix="0" xfId="0">
      <alignment vertical="center"/>
    </xf>
    <xf numFmtId="0" fontId="1" fillId="0" borderId="0" pivotButton="0" quotePrefix="0" xfId="0"/>
    <xf numFmtId="0" fontId="2" fillId="0" borderId="0" applyAlignment="1" pivotButton="0" quotePrefix="0" xfId="49">
      <alignment vertical="center"/>
    </xf>
    <xf numFmtId="0" fontId="2" fillId="0" borderId="0" applyAlignment="1" pivotButton="0" quotePrefix="0" xfId="49">
      <alignment horizontal="left" vertical="center"/>
    </xf>
    <xf numFmtId="0" fontId="2" fillId="0" borderId="0" applyAlignment="1" pivotButton="0" quotePrefix="0" xfId="49">
      <alignment horizontal="center" vertical="center"/>
    </xf>
    <xf numFmtId="0" fontId="3" fillId="2" borderId="0" pivotButton="0" quotePrefix="0" xfId="0"/>
    <xf numFmtId="0" fontId="3" fillId="2" borderId="0" applyAlignment="1" pivotButton="0" quotePrefix="0" xfId="0">
      <alignment horizontal="left"/>
    </xf>
    <xf numFmtId="0" fontId="3" fillId="2" borderId="0" applyAlignment="1" pivotButton="0" quotePrefix="0" xfId="0">
      <alignment horizontal="center"/>
    </xf>
    <xf numFmtId="0" fontId="2" fillId="0" borderId="1" applyAlignment="1" pivotButton="0" quotePrefix="0" xfId="49">
      <alignment vertical="center"/>
    </xf>
    <xf numFmtId="0" fontId="2" fillId="0" borderId="1" applyAlignment="1" pivotButton="0" quotePrefix="0" xfId="49">
      <alignment horizontal="left" vertical="center"/>
    </xf>
    <xf numFmtId="0" fontId="2" fillId="0" borderId="1" applyAlignment="1" pivotButton="0" quotePrefix="0" xfId="49">
      <alignment horizontal="center" vertical="center"/>
    </xf>
    <xf numFmtId="0" fontId="1" fillId="3" borderId="0" pivotButton="0" quotePrefix="0" xfId="0"/>
    <xf numFmtId="0" fontId="1" fillId="0" borderId="0" pivotButton="0" quotePrefix="0" xfId="0"/>
    <xf numFmtId="0" fontId="0" fillId="4" borderId="0" applyAlignment="1" pivotButton="0" quotePrefix="0" xfId="0">
      <alignment vertical="center"/>
    </xf>
    <xf numFmtId="0" fontId="1" fillId="4" borderId="0" pivotButton="0" quotePrefix="0" xfId="0"/>
    <xf numFmtId="0" fontId="1" fillId="5" borderId="0" pivotButton="0" quotePrefix="0" xfId="0"/>
    <xf numFmtId="0" fontId="0" fillId="0" borderId="0" pivotButton="0" quotePrefix="0" xfId="0"/>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None</author>
  </authors>
  <commentList>
    <comment ref="F2" authorId="0" shapeId="0">
      <text>
        <t>858</t>
      </text>
    </comment>
    <comment ref="F3" authorId="0" shapeId="0">
      <text>
        <t>862</t>
      </text>
    </comment>
    <comment ref="F4" authorId="0" shapeId="0">
      <text>
        <t>861</t>
      </text>
    </comment>
    <comment ref="F5" authorId="0" shapeId="0">
      <text>
        <t>860</t>
      </text>
    </comment>
    <comment ref="F6" authorId="0" shapeId="0">
      <text>
        <t>859</t>
      </text>
    </comment>
    <comment ref="F7" authorId="0" shapeId="0">
      <text>
        <t>867</t>
      </text>
    </comment>
    <comment ref="F8" authorId="0" shapeId="0">
      <text>
        <t>868</t>
      </text>
    </comment>
    <comment ref="F9" authorId="0" shapeId="0">
      <text>
        <t>870</t>
      </text>
    </comment>
    <comment ref="F10" authorId="0" shapeId="0">
      <text>
        <t>741</t>
      </text>
    </comment>
    <comment ref="F11" authorId="0" shapeId="0">
      <text>
        <t>739</t>
      </text>
    </comment>
    <comment ref="F12" authorId="0" shapeId="0">
      <text>
        <t>740</t>
      </text>
    </comment>
    <comment ref="F13" authorId="0" shapeId="0">
      <text>
        <t>746</t>
      </text>
    </comment>
  </commentList>
</comment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W35"/>
  <sheetViews>
    <sheetView tabSelected="1" workbookViewId="0">
      <selection activeCell="E10" sqref="E10"/>
    </sheetView>
  </sheetViews>
  <sheetFormatPr baseColWidth="8" defaultColWidth="9" defaultRowHeight="14.4" outlineLevelCol="0"/>
  <cols>
    <col width="13.5740740740741" customWidth="1" style="12" min="2" max="2"/>
    <col width="17.287037037037" customWidth="1" style="12" min="3" max="3"/>
    <col width="15.3333333333333" customWidth="1" style="2" min="4" max="4"/>
    <col width="10" customWidth="1" style="2" min="5" max="5"/>
    <col width="35" customWidth="1" style="3" min="6" max="6"/>
    <col width="53.5555555555556" customWidth="1" style="3" min="7" max="7"/>
    <col width="10" customWidth="1" style="4" min="8" max="8"/>
    <col width="3.88888888888889" customWidth="1" style="16" min="10" max="10"/>
    <col width="12.1111111111111" customWidth="1" style="16" min="11" max="11"/>
    <col width="10.7777777777778" customWidth="1" style="16" min="12" max="12"/>
    <col width="4" customWidth="1" style="16" min="14" max="14"/>
    <col width="11.3333333333333" customWidth="1" style="16" min="15" max="15"/>
    <col width="13.4444444444444" customWidth="1" style="16" min="16" max="16"/>
    <col width="10.4444444444444" customWidth="1" style="16" min="17" max="17"/>
    <col width="6.11111111111111" customWidth="1" style="16" min="18" max="18"/>
    <col width="11.1111111111111" customWidth="1" style="16" min="19" max="19"/>
    <col width="11.6666666666667" customWidth="1" style="16" min="20" max="20"/>
    <col width="11.7777777777778" customWidth="1" style="16" min="21" max="21"/>
  </cols>
  <sheetData>
    <row r="1">
      <c r="A1" s="0" t="inlineStr">
        <is>
          <t>report_id</t>
        </is>
      </c>
      <c r="B1" s="12" t="inlineStr">
        <is>
          <t>obj_type</t>
        </is>
      </c>
      <c r="C1" s="12" t="inlineStr">
        <is>
          <t>style_name</t>
        </is>
      </c>
      <c r="D1" s="5" t="inlineStr">
        <is>
          <t>security_class</t>
        </is>
      </c>
      <c r="E1" s="5" t="inlineStr">
        <is>
          <t>security_control_class</t>
        </is>
      </c>
      <c r="F1" s="6" t="inlineStr">
        <is>
          <t>detail</t>
        </is>
      </c>
      <c r="G1" s="6" t="inlineStr">
        <is>
          <t>result_record</t>
        </is>
      </c>
      <c r="H1" s="7" t="inlineStr">
        <is>
          <t>result_score</t>
        </is>
      </c>
      <c r="K1" s="11" t="inlineStr">
        <is>
          <t>qwen_result</t>
        </is>
      </c>
      <c r="L1" s="11" t="inlineStr">
        <is>
          <t>qwen_reason</t>
        </is>
      </c>
      <c r="M1" s="11" t="inlineStr">
        <is>
          <t>qwen问题</t>
        </is>
      </c>
      <c r="N1" s="12" t="n"/>
      <c r="O1" s="13" t="inlineStr">
        <is>
          <t>glm4_result</t>
        </is>
      </c>
      <c r="P1" s="13" t="inlineStr">
        <is>
          <t>glm4_reason</t>
        </is>
      </c>
      <c r="Q1" s="14" t="inlineStr">
        <is>
          <t>glm问题</t>
        </is>
      </c>
      <c r="R1" s="12" t="n"/>
      <c r="S1" s="12" t="inlineStr">
        <is>
          <t>qwen是否一致</t>
        </is>
      </c>
      <c r="T1" s="12" t="inlineStr">
        <is>
          <t>glm4是否一致</t>
        </is>
      </c>
      <c r="U1" s="12" t="inlineStr">
        <is>
          <t>都一致</t>
        </is>
      </c>
      <c r="V1" s="0" t="inlineStr">
        <is>
          <t>realy_result</t>
        </is>
      </c>
      <c r="W1" s="0" t="inlineStr">
        <is>
          <t>reason</t>
        </is>
      </c>
    </row>
    <row r="2">
      <c r="A2" s="12" t="n">
        <v>19412</v>
      </c>
      <c r="B2" s="12" t="inlineStr">
        <is>
          <t>物理机房</t>
        </is>
      </c>
      <c r="C2" s="12" t="inlineStr">
        <is>
          <t>通用</t>
        </is>
      </c>
      <c r="D2" s="8" t="inlineStr">
        <is>
          <t>安全通信网络</t>
        </is>
      </c>
      <c r="E2" s="8" t="inlineStr">
        <is>
          <t>网络架构</t>
        </is>
      </c>
      <c r="F2" s="9" t="inlineStr">
        <is>
          <t>a)应保证网络设备的业务处理能力满足业务高峰期需要；</t>
        </is>
      </c>
      <c r="G2" s="9" t="inlineStr">
        <is>
          <t>经核查，主要网络设备未出现过因设备性能问题导致宕机的情况。经核查，业务高峰期CPU使用率最大为7%、内存使用率最大为67%，可以满足业务高峰期需要。业务系统主要网络设备CPU及内存利用率；
设备名称：站控层A网交换机1                                              
CPU使用率：6%                              内存使用率：67%
设备名称：站控层B网交换机1                                            
CPU使用率：7%                              内存使用率：67%
设备名称：站控层A网交换机2                                             
CPU使用率：6%                              内存使用率：67%
设备名称：站控层B网交换机2                                         
CPU使用率：7%                              内存使用率：67%</t>
        </is>
      </c>
      <c r="H2" s="10" t="inlineStr">
        <is>
          <t>符合</t>
        </is>
      </c>
      <c r="L2" s="0" t="inlineStr">
        <is>
          <t>### 判断过程：
1. **访谈网络管理员业务高峰时期为何时，核查边界设备和主要网络设备的处理能力是否满足业务高峰期需要，询问采用何种手段对主要网络设备的运行状态进行监控。**
   - 用户反馈显示业务高峰期CPU使用率为6%-7%，内存使用率为67%，这些数据表明设备处理能力在业务高峰期是足够的。
   - 符合预期结果1）的要求。
2. **应访谈或核查是否因设备处理能力不足而出现过宕机情况，可核查综合网管系统告警日志或设备运行时间等，或者访谈是否因设备处理能力不足而进行设备升级。**
   - 用户反馈明确表示主要网络设备未出现过因设备性能问题导致宕机的情况。
   - 符合预期结果2）的要求。
3. **应核查设备在一段时间内的性能峰值，结合设备自身的承载性能，分析是否能够满足业务处理能力。**
   - 用户提供的数据表明设备在业务高峰期的CPU使用率最高为7%，内存使用率为67%，均未超过70%的安全阈值。
   - 符合预期结果3）的要求。
### 最终判断：
所有预期结果均符合要求。
### 结果：
符合</t>
        </is>
      </c>
      <c r="O2" t="inlineStr">
        <is>
          <t>符合</t>
        </is>
      </c>
      <c r="P2" t="inlineStr">
        <is>
          <t>根据提供的核查信息，我们可以逐条对照预期结果进行分析：
1) 核查了主要网络设备在业务高峰期的CPU和内存使用率，发现其最大使用率为7%，低于预期的70%。这表明设备处理能力满足业务高峰期的需求。同时，提到可以通过综合网管系统查看主要网络设备的CPU、内存使用情况，但没有提供具体的命令示例。因此，这部分内容符合预期结果的第一点，但未能完全按照华为交换机的具体命令进行操作。
2) 经核查，主要网络设备未出现过因设备性能问题导致宕机的情况，这与预期结果的第二点相符。此外，虽然没有提及核查综合网管系统的告警日志或设备运行时间，也没有说明是否进行了设备升级，但由于没有出现宕机情况，这一点也可以视为符合。
3) 提供了设备名称及其对应的CPU和内存使用率，这些数据可用于分析设备在一段时间内的性能峰值，并结合设备自身的承载性能来判断是否能满足业务处理能力。虽然这里没有直接给出“show process cpu /memory”这样的命令执行结果，但是提供了必要的数据，所以这一部分也符合预期结果。
综上所述，所有预期结果都有相应的证据支持，尽管有些细节（如具体命令）没有明确提及。因此，可以得出结论：
结果：符合</t>
        </is>
      </c>
      <c r="S2" s="15">
        <f>IF(H2=K2,"一致","不一致")</f>
        <v/>
      </c>
      <c r="T2" s="15">
        <f>IF(H2=O2,"一致","不一致")</f>
        <v/>
      </c>
      <c r="U2" s="15">
        <f>IF(S2=T2,"一致","不一致")</f>
        <v/>
      </c>
    </row>
    <row r="3">
      <c r="A3" s="12" t="n">
        <v>19412</v>
      </c>
      <c r="B3" s="12" t="inlineStr">
        <is>
          <t>物理机房</t>
        </is>
      </c>
      <c r="C3" s="12" t="inlineStr">
        <is>
          <t>通用</t>
        </is>
      </c>
      <c r="D3" s="8" t="inlineStr">
        <is>
          <t>安全通信网络</t>
        </is>
      </c>
      <c r="E3" s="8" t="inlineStr">
        <is>
          <t>网络架构</t>
        </is>
      </c>
      <c r="F3" s="9" t="inlineStr">
        <is>
          <t>b)应保证网络各个部分的带宽满足业务高峰期需要；</t>
        </is>
      </c>
      <c r="G3" s="9" t="inlineStr">
        <is>
          <t>经核查，业务系统核心链路网络带宽为千兆链路；网络出口带宽为千兆链路；各通信链路高峰流量均不大其带宽的77%，能够满足业务高峰期需要。</t>
        </is>
      </c>
      <c r="H3" s="10" t="inlineStr">
        <is>
          <t>符合</t>
        </is>
      </c>
      <c r="K3" s="0" t="inlineStr">
        <is>
          <t>部分符合</t>
        </is>
      </c>
      <c r="L3" s="0" t="inlineStr">
        <is>
          <t>根据提供的信息：
1. **预期结果1**：内容未提及是否访谈管理员高峰时段的流量使用情况，是否部署流量控制设备，或在相关设备上启用QoS配置等细节，因此这部分信息不完全覆盖预期结果1的要求。
2. **预期结果2**：提到“综合网管系统在业务商峰时段的带宽占用情况”，并指出带宽占用情况能够满足业务高峰期需要，这与预期结果2的描述基本一致。
3. **预期结果3**：提到“测试验证网络各个部分的带宽是否满足业务高峰期需求”，且确认“能够满足业务高峰期需要”，这与预期结果3的描述一致。
综上所述，预期结果2和预期结果3的内容得到了满足，但预期结果1的具体措施没有被提及。因此，最终判定为“结果：部分符合”。</t>
        </is>
      </c>
      <c r="O3" t="inlineStr">
        <is>
          <t>部分符合</t>
        </is>
      </c>
      <c r="P3" t="inlineStr">
        <is>
          <t>根据提供的用户输入内容，我们可以逐条对照预期结果进行分析：
1) 用户输入提到“业务系统核心链路网络带宽为千兆链路”，这与预期结果中的“应访谈管理员高峰时段的流量使用情况”相符，但没有提及是否部署了流量控制设备或启用了QoS配置来确保服务连续性。因此，这一点不完全符合。
2) 用户输入没有直接说明是否查看了综合网管系统在业务高峰期的带宽占用情况，也没有提到如果无法满足需求会进行哪些调整。但是，它提到了当前各通信链路高峰流量占比较低（77%），且能够满足业务高峰期需要。这表明可能已经进行了某种形式的检查和分析，但缺乏明确的表述，所以这一条也不完全符合。
3) 用户输入中包含了关于带宽的具体信息：“各通信链路高峰流量均不大其带宽的77%，能够满足业务高峰期需要。” 这与预期结果中的“测试验证网络各个部分的带宽是否满足业务高峰期需求”是相吻合的。
综上所述，只有第三点预期结果是完全符合的，第一点和第二点则是部分符合或不完全符合。因此，最终判断应该是：
结果：部分符合</t>
        </is>
      </c>
    </row>
    <row r="4">
      <c r="A4" s="12" t="n">
        <v>19412</v>
      </c>
      <c r="B4" s="12" t="inlineStr">
        <is>
          <t>物理机房</t>
        </is>
      </c>
      <c r="C4" s="12" t="inlineStr">
        <is>
          <t>通用</t>
        </is>
      </c>
      <c r="D4" s="8" t="inlineStr">
        <is>
          <t>安全通信网络</t>
        </is>
      </c>
      <c r="E4" s="8" t="inlineStr">
        <is>
          <t>网络架构</t>
        </is>
      </c>
      <c r="F4" s="9" t="inlineStr">
        <is>
          <t>c)应划分不同的网络区域，并按照方便管理和控制的原则为各网络区域分配地址；</t>
        </is>
      </c>
      <c r="G4" s="9" t="inlineStr">
        <is>
          <t>经核查，根据各业务系统的重要性、功能性等因素，将祁连换流站SCADA系统划分为实时控制系统区域、保信系统区域、数字化系统区域，并按照方便管理和控制的原则，为不同区域的主机设备和网络安全设备分配了不同地址。IP地址段涉及敏感信息，暂不提供具体地址。</t>
        </is>
      </c>
      <c r="H4" s="10" t="inlineStr">
        <is>
          <t>符合</t>
        </is>
      </c>
      <c r="K4" s="0" t="inlineStr">
        <is>
          <t>部分符合</t>
        </is>
      </c>
      <c r="L4" s="0" t="inlineStr">
        <is>
          <t>根据提供的内容，我们来逐一分析预期结果中的两个方面：
1. **应访谈网络管理员，是否依据部门的工作职能、等级保护对象的重要程度和应用系统的级别等实际情况和区域安全防护要求划分了不同的VLAN**：
   - 输入内容提到“根据各业务系统的重要性、功能性等因素，将祁连换流站SCADA系统划分为实时控制系统区域、保信系统区域、数字化系统区域”，这表明确实依据了系统的重要性等因素进行了区域划分。虽然没有明确提到VLAN，但可以推断这些区域划分应该对应于不同的VLAN。因此，这一部分可以视为符合。
2. **核查相关网络设备配置信息，验证划分的网络区域是否与划分原则一致**：
   - 输入内容中提到“按照方便管理和控制的原则，为不同区域的主机设备和网络安全设备分配了不同地址”，这表明已经考虑了网络区域的划分原则。然而，输入内容并未提及具体的网络设备配置信息核查，如使用“show vlan brief”命令查看VLAN配置。因此，这一部分无法直接确认为符合。
综合以上分析，虽然第一点符合预期结果，但第二点没有直接证据支持，因此不能完全确认满足所有条件。
**最终判断：结果：部分符合**。</t>
        </is>
      </c>
      <c r="O4" t="inlineStr">
        <is>
          <t>部分符合</t>
        </is>
      </c>
      <c r="P4" t="inlineStr">
        <is>
          <t>根据提供的用户输入内容，我们可以进行如下分析：
1. **预期结果1**：“应访谈网络管理员，是否依据部门的工作职能、等级保护对象的重要程度和应用系统的级别等实际情况和区域安全防护要求划分了不同的VLAN。”
   - 用户输入的内容提到了根据各业务系统的重要性、功能性等因素进行了划分，这与预期结果中提到的“依据工作职能、重要程度和级别等实际情况”相符合。因此，这一预期结果是肯定的。
2. **预期结果2**：“核查相关网络设备配置信息，验证划分的网络区域是否与划分原则一致。”
   - 用户输入的内容没有直接提到核查配置信息和验证区域一致性，只是说明了如何划分以及分配地址段的原则。这并不足以证明已经实际执行了核查操作或者验证了一致性。因此，这一预期结果是不确定的。
综合以上两点，由于第一个预期结果是肯定的，但第二个预期结果无法确定，所以最终的结果是“结果：部分符合”。</t>
        </is>
      </c>
    </row>
    <row r="5">
      <c r="A5" s="12" t="n">
        <v>19412</v>
      </c>
      <c r="B5" s="12" t="inlineStr">
        <is>
          <t>物理机房</t>
        </is>
      </c>
      <c r="C5" s="12" t="inlineStr">
        <is>
          <t>通用</t>
        </is>
      </c>
      <c r="D5" s="8" t="inlineStr">
        <is>
          <t>安全通信网络</t>
        </is>
      </c>
      <c r="E5" s="8" t="inlineStr">
        <is>
          <t>网络架构</t>
        </is>
      </c>
      <c r="F5" s="9" t="inlineStr">
        <is>
          <t>d)应避免将重要网络区域部署在边界处，重要网络区域与其他网络区域之间应采取可靠的技术隔离手段；</t>
        </is>
      </c>
      <c r="G5" s="9" t="inlineStr">
        <is>
          <t>1）经核查，重要网络区域部署情况：现场网络拓扑图与实际运行网络环境一致；祁连换流站SCADA系统部署在生产控制大区，系统重要网络区域未部署在网络边界。
2）经核查，实时控制系统与保信系统之间部署了反向隔离装置进行强逻辑隔离；实时控制系统与数字化系统之间部署防火墙进行逻辑隔离，保信系统与数字化系统之间部署防火墙进行逻辑隔离，数字化系统与管理信息大区之间部署了正向隔离装置进行强逻辑隔离，纵向部署了纵向加密装置进行访问控制，满足边界防护要求。</t>
        </is>
      </c>
      <c r="H5" s="10" t="inlineStr">
        <is>
          <t>符合</t>
        </is>
      </c>
      <c r="K5" s="0" t="inlineStr">
        <is>
          <t>符合</t>
        </is>
      </c>
      <c r="L5" s="0" t="inlineStr">
        <is>
          <t>根据提供的内容，我们逐一评估预期结果：
1. **网络拓扑图与实际网络运行环境一致**：
   - 用户描述：“现场网络拓扑图与实际运行网络环境一致”。
   - 符合预期结果1。
2. **重要网络区域未部署在网络边界处**：
   - 用户描述：“祁连换流站SCADA系统部署在生产控制大区，系统重要网络区域未部署在网络边界”。
   - 符合预期结果2。
3. **在重要网络区域与其他网络区域之间部署了网闸、防火墙等安全设备，实现了技术隔离**：
   - 用户描述：“实时控制系统与保信系统之间部署了反向隔离装置进行强逻辑隔离；实时控制系统与数字化系统之间部署防火墙进行逻辑隔离，保信系统与数字化系统之间部署防火墙进行逻辑隔离，数字化系统与管理信息大区之间部署了正向隔离装置进行强逻辑隔离，纵向部署了纵向加密装置进行访问控制，满足边界防护要求”。
   - 符合预期结果3。
综上所述，用户输入的内容完全符合所有预期结果的要求。
**最终判断：结果：符合**。</t>
        </is>
      </c>
      <c r="O5" t="inlineStr">
        <is>
          <t>符合</t>
        </is>
      </c>
      <c r="P5" t="inlineStr">
        <is>
          <t>根据提供的用户输入的内容，我们可以对每一条预期结果进行如下分析：
1) 网络拓扑图与实际网络运行环境一致：
   - 用户内容提到“现场网络拓扑图与实际运行网络环境一致”，这与预期结果1完全吻合，因此这条预期结果是符合的。
2）重要网络区域未部署在网络边界处：
   - 用户内容指出“系统重要网络区域未部署在网络边界”，这也与预期结果2相符，所以这条预期结果也是符合的。
3) 在重要网络区域与其他网络区域之间部署了网闸、防火墙等安全设备，实现了技术隔离：
   - 用户内容提到了多种安全设备的部署，包括反向隔离装置、防火墙和正向隔离装置，以及纵向加密装置进行访问控制。这些措施都是为了实现不同网络区域之间的技术隔离，虽然没有直接提及“网闸”，但提到的设备功能上可以视为等效于网闸的作用，即提供逻辑或物理隔离。因此，这一条预期结果也符合。
综上所述，所有三条预期结果都得到了满足，最终判断为：
结果：符合</t>
        </is>
      </c>
    </row>
    <row r="6">
      <c r="A6" s="12" t="n">
        <v>19412</v>
      </c>
      <c r="B6" s="12" t="inlineStr">
        <is>
          <t>物理机房</t>
        </is>
      </c>
      <c r="C6" s="12" t="inlineStr">
        <is>
          <t>通用</t>
        </is>
      </c>
      <c r="D6" s="8" t="inlineStr">
        <is>
          <t>安全通信网络</t>
        </is>
      </c>
      <c r="E6" s="8" t="inlineStr">
        <is>
          <t>网络架构</t>
        </is>
      </c>
      <c r="F6" s="9" t="inlineStr">
        <is>
          <t>e)应提供通信线路、关键网络设备和关键计算设备的硬件冗余，保证系统的可用性。</t>
        </is>
      </c>
      <c r="G6" s="9" t="inlineStr">
        <is>
          <t>经核查，系统采用双网冗余技术设计网络架构，实现系统通信线路冗余。核心通信线路、关键网络设备和关键计算设备均为冗余配置，可以保证系统的高可用性。</t>
        </is>
      </c>
      <c r="H6" s="10" t="inlineStr">
        <is>
          <t>符合</t>
        </is>
      </c>
      <c r="K6" s="0" t="inlineStr">
        <is>
          <t>符合</t>
        </is>
      </c>
      <c r="L6" s="0" t="inlineStr">
        <is>
          <t>分析如下：
1. **内容中的“双网冗余技术”**：这与预期结果中的“HSRP、VRRP等冗余技术”有一定的相似性，因为这些技术都是常见的冗余解决方案。然而，具体内容中没有明确提到具体的冗余技术如HSRP或VRRP。
2. **系统通信线路冗余**：这与预期结果中的“通信线路或设备故障时网络不中断”相符。
3. **核心通信线路、关键网络设备和关键计算设备均为冗余配置**：这与预期结果中的“确保在通信线路或设备故障时网络不中断，有效增强网络的可靠性”相符。
综合以上分析，尽管具体内容没有直接提到HSRP或VRRP，但系统采用的双网冗余技术可以视为一种冗余技术，并且实现了预期结果中的功能目标。
**最后判断**：结果：符合。</t>
        </is>
      </c>
      <c r="O6" t="inlineStr">
        <is>
          <t>符合</t>
        </is>
      </c>
      <c r="P6" t="inlineStr">
        <is>
          <t>结果：符合
说明：用户提供的content中提到了“双网冗余技术设计网络架构”和“实现系统通信线路冗余”，这与预期结果中的“采用HSRP、VRRP等冗余技术设计网络架构，确保在通信线路或设备故障时网络不中断，有效增强网络的可靠性”相吻合。因此，根据规则，可以判定为符合预期结果。</t>
        </is>
      </c>
    </row>
    <row r="7">
      <c r="A7" s="12" t="n">
        <v>19412</v>
      </c>
      <c r="B7" s="12" t="inlineStr">
        <is>
          <t>物理机房</t>
        </is>
      </c>
      <c r="C7" s="12" t="inlineStr">
        <is>
          <t>通用</t>
        </is>
      </c>
      <c r="D7" s="8" t="inlineStr">
        <is>
          <t>安全通信网络</t>
        </is>
      </c>
      <c r="E7" s="8" t="inlineStr">
        <is>
          <t>通信传输</t>
        </is>
      </c>
      <c r="F7" s="9" t="inlineStr">
        <is>
          <t>a)应采用校验技术或密码技术保证通信过程中数据的完整性；</t>
        </is>
      </c>
      <c r="G7" s="9" t="inlineStr">
        <is>
          <t>经核查，系统在纵向传输链路上部署了科东PSTunnel-2000、南瑞NetKeeper-2000电力专用纵向加密认证装置，通过建立加密隧道进行数据传输，采用SM2、SM3算法进行机密性、完整性保护，能够保证通信过程数据的完整性；保护，能够保证通信过程数据的完整性。横向由高安全等级区域向低安全等级区域的数据传输，数据完整性由低安全等级区域的系统考虑。横向通过反向隔离装置由低安全等级区域向高安全等级区域进行数据传输，反向隔离装置采用基于SM2和SM3 算法的数字签名技术，在数据发送端对发送的数据进行签名，能够保证通信过程数据的完整性。</t>
        </is>
      </c>
      <c r="H7" s="10" t="inlineStr">
        <is>
          <t>符合</t>
        </is>
      </c>
      <c r="K7" s="0" t="inlineStr">
        <is>
          <t>部分符合</t>
        </is>
      </c>
      <c r="L7" s="0" t="inlineStr">
        <is>
          <t>根据提供的内容和预期结果，我们可以逐条分析：
### 第1条预期结果：
“应核查通信过程中跨纵向和横向边界的数据传输是否使用校验技术或密码技术来保证其完整性。”
- **纵向传输**：系统使用了科东PSTunnel-2000和南瑞NetKeeper-2000电力专用纵向加密认证装置，并采用了SM2、SM3算法进行完整性保护。
- **横向传输**：
  - 从高安全等级区域到低安全等级区域的数据传输未明确提到使用校验技术或密码技术来保证数据完整性。
  - 从低安全等级区域到高安全等级区域的数据传输使用了反向隔离装置，并采用基于SM2和SM3算法的数字签名技术，保证了数据的完整性。
因此，纵向传输符合要求，但横向传输未明确说明使用校验技术或密码技术来保证数据完整性。
### 第2条预期结果：
“应测试验证设备或组件是否保证通信过程中数据的完整性。例如使用File ChecksumIntegrity Verifier、SigCheck等工具对数据进行完整性校验。”
- **纵向传输**：没有提及使用任何特定工具（如File ChecksumIntegrity Verifier、SigCheck）进行完整性校验。
- **横向传输**：虽然提到了反向隔离装置使用了数字签名技术，但并未明确指出使用了上述特定工具进行完整性校验。
综上所述，纵向和横向传输均未明确提及使用特定工具进行数据完整性校验。
### 最终判断：
由于纵向传输符合使用密码技术保证数据完整性的要求，但横向传输未明确说明使用校验技术或密码技术保证数据完整性；同时，未提及使用特定工具进行完整性校验，因此：
**结果：部分符合**</t>
        </is>
      </c>
      <c r="O7" t="inlineStr">
        <is>
          <t>符合</t>
        </is>
      </c>
      <c r="P7" t="inlineStr">
        <is>
          <t>根据提供的预期结果和用户输入的内容，以下是分析：
1) 对鉴别数据、重要业务数据、重要审计数据、重要配置数据、重要视频数据和重要个人信息数据等采用校验技术或密码技术保证通信过程中数据的完整性；
   - 用户输入提到“通过建立加密隧道进行数据传输，采用SM2、SM3算法进行机密性、完整性保护”，这表明对于重要数据（如未明确提及的视频数据和个人信息数据）采用了校验技术和密码技术来确保数据的完整性和机密性。因此，这一条预期结果是符合的。
2) File ChecksumIntegrity Verifier 计算数据的散列值，验证数据的完整性
   - 用户输入中没有直接提及“File ChecksumIntegrity Verifier”这个工具或其功能，但是提到了使用SM2和SM3算法来进行数据完整性保护。虽然这不是完全相同的表述，但考虑到语义相同的原则，可以认为这也是一种计算数据散列值的做法来验证数据完整性。因此，这条预期结果也是符合的。
由于两条预期结果都被满足，所以最终输出应该是：
结果：符合</t>
        </is>
      </c>
    </row>
    <row r="8">
      <c r="A8" s="12" t="n">
        <v>19412</v>
      </c>
      <c r="B8" s="12" t="inlineStr">
        <is>
          <t>物理机房</t>
        </is>
      </c>
      <c r="C8" s="12" t="inlineStr">
        <is>
          <t>通用</t>
        </is>
      </c>
      <c r="D8" s="8" t="inlineStr">
        <is>
          <t>安全通信网络</t>
        </is>
      </c>
      <c r="E8" s="8" t="inlineStr">
        <is>
          <t>通信传输</t>
        </is>
      </c>
      <c r="F8" s="9" t="inlineStr">
        <is>
          <t>b)应采用密码技术保证通信过程中数据的保密性。</t>
        </is>
      </c>
      <c r="G8" s="9" t="inlineStr">
        <is>
          <t>经核查，系统在纵向传输链路上部署了科东PSTunnel-2000、南瑞NetKeeper-2000电力专用纵向加密认证装置，通过建立加密隧道进行数据传输，采用SM2、SM3算法进行机密性、完整性保护，能够保证通信过程数据的保密性。横向由高安全等级区域向低安全等级区域的数据传输，数据完整性由低安全等级区域的系统考虑。横向通过反向隔离装置由低安全等级区域高安全区进行数据传输，在数据发送端通过SM3算法对发送的数据进行加密，能够保证通信过程数据的保密性。</t>
        </is>
      </c>
      <c r="H8" s="10" t="inlineStr">
        <is>
          <t>符合</t>
        </is>
      </c>
      <c r="K8" s="0" t="inlineStr">
        <is>
          <t>符合</t>
        </is>
      </c>
      <c r="L8" s="0" t="inlineStr">
        <is>
          <t>根据提供的内容，我们逐条评估预期结果：
1. **应核查通信过程中跨纵向和横向边界的数据传输是否使用密码技术来保证其保密性。**
   - 内容提到纵向传输链路上部署了电力专用纵向加密认证装置，并通过建立加密隧道进行数据传输，采用SM2、SM3算法进行机密性、完整性保护。
   - 横向传输中也提到了通过反向隔离装置进行数据传输，并在数据发送端通过SM3算法对发送的数据进行加密。
   - 因此，该内容符合预期结果1的要求。
2. **应测试验证在通信过程中是否对敏感信息字段或整个报文进行加密，可使用Sniffer、Wireshark等测试工具通过流量镜像等方式抓取网络中的数据,验证数据是否加密。**
   - 内容中详细描述了纵向和横向传输中均采用了加密措施，包括使用加密隧道和加密算法（如SM2、SM3）。
   - 虽然没有提及具体的测试工具（如Sniffer、Wireshark）及流量镜像方式，但已明确说明了加密措施的存在，因此可以推断这些措施在实际应用中是有效的。
   - 因此，该内容也符合预期结果2的要求。
综上所述，两条预期结果均被满足。
**结果：符合**</t>
        </is>
      </c>
      <c r="O8" t="inlineStr">
        <is>
          <t>符合</t>
        </is>
      </c>
      <c r="P8" t="inlineStr">
        <is>
          <t>根据提供的信息，我们可以逐一分析用户输入的内容是否符合预期结果：
1) 应核查通信过程中跨纵向和横向边界的数据传输是否使用密码技术来保证其保密性。
   - 用户内容提到系统在纵向传输链路上使用了科东PSTunnel-2000、南瑞NetKeeper-2000电力专用纵向加密认证装置，并采用了SM2、SM3算法进行机密性和完整性保护。这表明确实使用了密码技术来保证数据传输的保密性。因此，这一项符合预期结果。
2) 应测试验证在通信过程中是否对敏感信息字段或整个报文进行加密，可使用Sniffer、Wireshark等测试工具通过流量镜像等方式抓取网络中的数据,验证数据是否加密。
   - 用户内容指出，在横向传输中，数据发送端通过SM3算法对数据进行加密。虽然没有直接提及使用Sniffer、Wireshark等工具的具体操作，但提到了实际应用了SM3算法进行加密，这意味着对敏感信息字段进行了加密处理。虽然缺乏关于使用特定测试工具的直接证据，但从描述来看，可以认为这项也符合预期结果。
综上所述，两条预期结果都有相应的证据支持，所以最终判断是：
结果：符合</t>
        </is>
      </c>
    </row>
    <row r="9">
      <c r="A9" s="12" t="n">
        <v>19412</v>
      </c>
      <c r="B9" s="12" t="inlineStr">
        <is>
          <t>物理机房</t>
        </is>
      </c>
      <c r="C9" s="12" t="inlineStr">
        <is>
          <t>通用</t>
        </is>
      </c>
      <c r="D9" s="8" t="inlineStr">
        <is>
          <t>安全通信网络</t>
        </is>
      </c>
      <c r="E9" s="10" t="inlineStr">
        <is>
          <t>可信验证</t>
        </is>
      </c>
      <c r="F9" s="9" t="inlineStr">
        <is>
          <t>a)可基于可信根对通信设备的系统引导程序、系统程序、重要配置参数和通信应用程序等进行可信验证，并在应用程序的关键执行环节进行动态可信验证，在检测到其可信性受到破坏后进行报警，并将验证结果形成审计记录送至安全管理中心。</t>
        </is>
      </c>
      <c r="G9" s="9" t="inlineStr">
        <is>
          <t>1)经核查，未基于可信根对通信设备的系统引导程序、系统程序、重要配置参数和通信应用程序等进行可信验证。
2)经核查，未在应用程序关键执行环节进行动态可信验证。
3)经验证，可信性受到破坏后未进行报警。
4)经验证，结果未以审计记录的形式送至安全管理中心。</t>
        </is>
      </c>
      <c r="H9" s="10" t="inlineStr">
        <is>
          <t>不符合</t>
        </is>
      </c>
      <c r="K9" s="0" t="inlineStr">
        <is>
          <t>不符合</t>
        </is>
      </c>
      <c r="L9" s="0" t="inlineStr">
        <is>
          <t>结果：不符合
说明：
1. 预期结果1要求通信设备具有可信根芯片或硬件，但用户输入的内容明确指出未基于可信根对通信设备的关键组件进行可信验证，因此不符合预期结果1。
2. 预期结果2要求在启动过程中基于可信根对系统引导程序、系统程序、重要配置参数和关键应用程序进行可信验证度量，但用户输入的内容明确指出未在应用程序关键执行环节进行动态可信验证，因此不符合预期结果2。
3. 预期结果3要求在检测到其可信性受到破坏后进行报警，但用户输入的内容明确指出可信性受到破坏后未进行报警，因此不符合预期结果3。
4. 预期结果4要求将验证结果形成审计记录并送至安全管理中心，但用户输入的内容明确指出结果未以审计记录的形式送至安全管理中心，因此不符合预期结果4。
综上所述，所有预期结果均不符合用户输入的内容，因此最终判断结果为“不符合”。</t>
        </is>
      </c>
      <c r="O9" t="inlineStr">
        <is>
          <t>不符合</t>
        </is>
      </c>
      <c r="P9" t="inlineStr">
        <is>
          <t>根据提供的预期结果和用户输入的内容，我们可以逐条分析如下：
1) 用户输入指出未基于可信根进行可信验证，这与预期结果1)的要求不符。
2) 用户输入也表明未在关键执行环节进行动态可信验证，与预期结果2)的要求不符。
3) 用户输入说明在检测到设备可信性受到破坏后没有进行报警，这同样与预期结果3)的要求不符。
4) 用户输入还提到结果未被以审计记录形式送至安全管理中心，这与预期结果4)的要求也不符。
由于所有四点预期结果都与用户的输入内容不一致，因此可以得出结论：
结果：不符合</t>
        </is>
      </c>
    </row>
    <row r="10">
      <c r="A10" s="12" t="n">
        <v>19412</v>
      </c>
      <c r="B10" s="12" t="inlineStr">
        <is>
          <t>物理机房</t>
        </is>
      </c>
      <c r="C10" s="12" t="inlineStr">
        <is>
          <t>通用</t>
        </is>
      </c>
      <c r="D10" s="8" t="inlineStr">
        <is>
          <t>安全通信网络</t>
        </is>
      </c>
      <c r="E10" s="8" t="inlineStr">
        <is>
          <t>网络架构</t>
        </is>
      </c>
      <c r="F10" s="9" t="inlineStr">
        <is>
          <t>a)工业控制系统与企业其他系统之间应划分为两个区域，区域间应采用单向的技术隔离手段；</t>
        </is>
      </c>
      <c r="G10" s="9" t="inlineStr">
        <is>
          <t>祁连换流站SCADA系统划分了生产控制大区和管理信息大区，并且生产控制大区划分了控制区（安全区Ⅰ）和非控制区（安全区Ⅱ）。
经核查，祁连换流站SCADA系统部署在生产控制大区，与管理信息大区之间部署正向隔离装置进行访问控制，纵向部署了纵向加密装置进行访问控制，配置合理的访问控制策略进行安全防护，实现了强逻辑隔离，同时工控系统未使用无线网络。</t>
        </is>
      </c>
      <c r="H10" s="10" t="inlineStr">
        <is>
          <t>符合</t>
        </is>
      </c>
      <c r="K10" s="0" t="inlineStr">
        <is>
          <t>不符合</t>
        </is>
      </c>
      <c r="L10" s="0" t="inlineStr">
        <is>
          <t>根据给出的预期结果和用户输入的内容，我们逐一进行判断：
### 预期结果 1:
**应访谈网络管理员业务高峰时期为何时，核查边界设备和主要网络设备的处理能力是否满足业务高峰期需要，询问采用何种手段对主要网络设备的运行状态进行监控。**
- 用户输入内容并未提及业务高峰时期的具体时间，也未涉及边界设备和主要网络设备的处理能力和监控手段，因此这部分不符合预期结果 1。
### 预期结果 2:
**应访谈或核查是否因设备处理能力不足而出现过宕机情况，可核查综合网管系统告警日志或设备运行时间等，或者访谈是否因设备处理能力不足而进行设备升级。**
- 用户输入内容并未提到设备处理能力不足的情况，也没有提及设备运行时间或告警日志，因此这部分不符合预期结果 2。
### 预期结果 3:
**应核查设备在一段时间内的性能峰值，结合设备自身的承载性能，分析是否能够满足业务处理能力。**
- 用户输入内容并未提及设备性能峰值及是否能满足业务处理能力，因此这部分也不符合预期结果 3。
### 结论：
由于每条预期结果都不符合用户输入的内容，因此最终判断结果为“结果：不符合”。</t>
        </is>
      </c>
      <c r="O10" t="inlineStr">
        <is>
          <t>符合</t>
        </is>
      </c>
      <c r="P10" t="inlineStr">
        <is>
          <t>根据提供的信息和预期结果的要求，以下是对user输入的content的分析：
1) 祁连换流站SCADA系统的划分符合预期结果中的“生产控制大区”和“管理信息大区”，以及生产控制大区的进一步划分为“控制区（安全区Ⅰ）”和“非控制区（安全区Ⅱ）”。这表明对于第一条预期结果，内容是符合的。
2) user的内容提到了部署了正向隔离装置进行访问控制和纵向加密装置进行访问控制，并配置了合理的访问控制策略。这些措施与预期结果中提到的对主要网络设备的运行状态进行监控相吻合，因此也符合第二条预期结果。
3) content提到实现了强逻辑隔离，这与第三条预期结果中关于核查设备在一段时间内的性能峰值和分析是否能够满足业务处理能力有一定的相关性，因为物理和安全措施的强化有助于保证系统稳定性和处理能力。虽然没有直接提及性能峰值的分析，但可以推断出这样的安全措施是为了确保系统能够应对可能的峰值负载。
综上所述，所有预期的结果都有所涉及或间接符合，没有明确的互斥情况存在。因此，最终判断为：
结果：符合</t>
        </is>
      </c>
    </row>
    <row r="11">
      <c r="A11" s="12" t="n">
        <v>19412</v>
      </c>
      <c r="B11" s="12" t="inlineStr">
        <is>
          <t>物理机房</t>
        </is>
      </c>
      <c r="C11" s="12" t="inlineStr">
        <is>
          <t>通用</t>
        </is>
      </c>
      <c r="D11" s="8" t="inlineStr">
        <is>
          <t>安全通信网络</t>
        </is>
      </c>
      <c r="E11" s="8" t="inlineStr">
        <is>
          <t>网络架构</t>
        </is>
      </c>
      <c r="F11" s="9" t="inlineStr">
        <is>
          <t>b)工业控制系统内部应根据业务特点划分为不同的安全域，安全域之间应采用技术隔离手段；</t>
        </is>
      </c>
      <c r="G11" s="9" t="inlineStr">
        <is>
          <t>工业控制系统内部划分了不同的安全域，祁连换流站SCADA系统部署在生产控制大区，安全区Ⅰ与安全区Ⅱ之间部署隔离装置和防火墙进行安全防护。</t>
        </is>
      </c>
      <c r="H11" s="10" t="inlineStr">
        <is>
          <t>符合</t>
        </is>
      </c>
      <c r="K11" s="0" t="inlineStr">
        <is>
          <t>不符合</t>
        </is>
      </c>
      <c r="L11" s="0" t="inlineStr">
        <is>
          <t>根据给定的预期结果，我们逐一评估用户输入的内容是否符合：
1. **预期结果1**：应访谈管理员高峰时段的流量使用情况，是否部署流量控制设备对关键业务系统的流量带宽进行控制，或在相关设备上启用QoS配置，对网络各个部分进行带宽分配，从而保证业务高峰期业务服务的连续性。
   - 用户输入内容未提及关于访谈管理员、流量使用情况、流量控制设备、QoS配置等内容，因此不符合此预期结果。
2. **预期结果2**：应该查综合网管系统在业务商峰时段的带宽占用情况，分析是否满足业务需求。如果无法满足业务高蜂期需要，则需要在主要网络设备上进行带宽配置。
   - 用户输入内容未提及关于综合网管系统、带宽占用情况、带宽配置等内容，因此不符合此预期结果。
3. **预期结果3**：测试验证网络各个部分的带宽是否满足业务高峰期需求。
   - 用户输入内容未提及关于测试验证网络各个部分的带宽是否满足业务高峰期需求，因此不符合此预期结果。
综上所述，用户输入的内容没有符合任何一条预期结果的要求。
**结果：不符合**</t>
        </is>
      </c>
      <c r="O11" t="inlineStr">
        <is>
          <t>不符合</t>
        </is>
      </c>
      <c r="P11" t="inlineStr">
        <is>
          <t>根据您提供的预期结果规则和内容，我们来逐一分析用户输入的内容是否符合每个预期结果：
1. 用户输入的内容提到“祁连换流站SCADA系统部署在生产控制大区”，这与预期结果1中提到的“应访谈管理员高峰时段的流量使用情况”没有直接关联，因此不适用。
2. 用户输入的内容也提到了“安全区Ⅰ与安全区Ⅱ之间部署隔离装置和防火墙进行安全防护”，这涉及到网络安全措施，但与预期结果2中的“应该查综合网管系统在业务峰值时段的带宽占用情况”无关。
3. 同样地，“安全区Ⅰ与安全区Ⅱ之间部署隔离装置和防火墙进行安全防护”这一描述也没有提及到预期结果3中的“测试验证网络各个部分的带宽是否满足业务高峰期需求”。
由于用户输入的内容并未涉及预期结果中的任何一点，我们可以得出结论：
结果：不符合</t>
        </is>
      </c>
    </row>
    <row r="12">
      <c r="A12" s="12" t="n">
        <v>19412</v>
      </c>
      <c r="B12" s="12" t="inlineStr">
        <is>
          <t>物理机房</t>
        </is>
      </c>
      <c r="C12" s="12" t="inlineStr">
        <is>
          <t>通用</t>
        </is>
      </c>
      <c r="D12" s="8" t="inlineStr">
        <is>
          <t>安全通信网络</t>
        </is>
      </c>
      <c r="E12" s="8" t="inlineStr">
        <is>
          <t>网络架构</t>
        </is>
      </c>
      <c r="F12" s="9" t="inlineStr">
        <is>
          <t>c)涉及实时控制和数据传输的工业控制系统，应使用独立的网络设备组网，在物理层面上实现与其他数据网及外部公共信息网的安全隔离。</t>
        </is>
      </c>
      <c r="G12" s="9" t="inlineStr">
        <is>
          <t>经核查，祁连换流站SCADA系统涉及实时控制和数据传输的业务功能部署在安全区Ⅰ，该区域使用独立的设备组网，同时在物理层面上实现与其它数据网及外部公共信息网的安全隔离。</t>
        </is>
      </c>
      <c r="H12" s="10" t="inlineStr">
        <is>
          <t>符合</t>
        </is>
      </c>
      <c r="K12" s="0" t="inlineStr">
        <is>
          <t>部分符合</t>
        </is>
      </c>
      <c r="L12" s="0" t="inlineStr">
        <is>
          <t>根据给出的预期结果和内容分析：
1. **应访谈网络管理员，是否依据部门的工作职能、等级保护对象的重要程度和应用系统的级别等实际情况和区域安全防护要求划分了不同的VLAN**：
   - 用户输入的内容没有提到具体的访谈过程或网络管理员的意见，因此这部分不符合预期结果1。
2. **核查相关网络设备配置信息，验证划分的网络区域是否与划分原则一致**：
   - 用户输入的内容提到了“该区域使用独立的设备组网，并且在物理层面上实现与其它数据网及外部公共信息网的安全隔离”，这表明网络区域确实按照一定的原则进行了划分和隔离。但是，用户并未提供具体的命令执行结果或配置信息来直接验证这一点，仅从描述来看，可以认为是符合的，但需要更详细的信息来完全确认。
综合上述分析，由于第一条预期结果未被满足，因此最终判断为：
**结果：部分符合**</t>
        </is>
      </c>
      <c r="O12" t="inlineStr">
        <is>
          <t>部分符合</t>
        </is>
      </c>
      <c r="P12" t="inlineStr">
        <is>
          <t>根据提供的预期结果和用户输入的内容，以下是分析过程：
预期结果：
1）应访谈网络管理员，是否依据部门的工作职能、等级保护对象的重要程度和应用系统的级别等实际情况和区域安全防护要求划分了不同的VLAN。
2）核查相关网络设备配置信息，验证划分的网络区域是否与划分原则一致。
用户输入内容分析：
- 用户描述了一个具体的场景：祁连换流站的SCADA系统部署在安全区Ⅰ，并且使用了独立的设备组网以及实现了与其他数据网及外部公共信息网的安全隔离。
对应预期结果的评估：
1）关于第一点预期结果，虽然用户没有直接提到“访谈网络管理员”和“划分了不同的VLAN”，但提到了“使用独立的设备组网”和“物理层面上实现与其它数据网及外部公共信息网的安全隔离”。这暗示了可能存在基于安全考虑的网络分区（即VLAN）。虽然没有直接的证据表明这些措施是基于详细的分析和规划，但从安全隔离的措施来看，可以推断出这种可能性是存在的。
2）关于第二点预期结果，用户提到的“核查相关网络设备配置信息”可以通过执行命令“show vlan brief”来查看VLAN配置。然而，从提供的信息中并没有看到这一步骤的实际操作或者结果显示。
综合以上分析，我们可以得出以下结论：
- 第一点预期结果有部分符合的可能性，因为描述的场景显示了对安全的关注并采取了相应的措施。
- 第二点预期结果无法确认是否符合，因为没有提供实际的VLAN配置信息。
因此，最终判断为："结果：部分符合"。</t>
        </is>
      </c>
    </row>
    <row r="13">
      <c r="A13" s="12" t="n">
        <v>19412</v>
      </c>
      <c r="B13" s="12" t="inlineStr">
        <is>
          <t>物理机房</t>
        </is>
      </c>
      <c r="C13" s="12" t="inlineStr">
        <is>
          <t>通用</t>
        </is>
      </c>
      <c r="D13" s="8" t="inlineStr">
        <is>
          <t>安全通信网络</t>
        </is>
      </c>
      <c r="E13" s="10" t="inlineStr">
        <is>
          <t>通信传输</t>
        </is>
      </c>
      <c r="F13" s="9" t="inlineStr">
        <is>
          <t>a)在工业控制系统内使用广域网进行控制指令或相关数据交换的应采用加密认证技术手段实现身份认证、访问控制和数据加密传输。</t>
        </is>
      </c>
      <c r="G13" s="9" t="inlineStr">
        <is>
          <t>被测电力监控系统不进行广域网数据通信，此项不适用。</t>
        </is>
      </c>
      <c r="H13" s="10" t="inlineStr">
        <is>
          <t>不适用</t>
        </is>
      </c>
    </row>
    <row r="14">
      <c r="A14" s="12" t="n"/>
    </row>
    <row r="15">
      <c r="A15" s="12" t="n"/>
    </row>
    <row r="16">
      <c r="A16" s="12" t="n"/>
    </row>
    <row r="17">
      <c r="A17" s="12" t="n"/>
    </row>
    <row r="18">
      <c r="A18" s="12" t="n"/>
    </row>
    <row r="19">
      <c r="A19" s="12" t="n"/>
    </row>
    <row r="20">
      <c r="A20" s="12" t="n"/>
    </row>
    <row r="21">
      <c r="A21" s="12" t="n"/>
    </row>
    <row r="22">
      <c r="A22" s="12" t="n"/>
    </row>
    <row r="23">
      <c r="A23" s="12" t="n"/>
    </row>
    <row r="24">
      <c r="A24" s="12" t="n"/>
    </row>
    <row r="25">
      <c r="A25" s="12" t="n"/>
    </row>
    <row r="26">
      <c r="A26" s="12" t="n"/>
    </row>
    <row r="27">
      <c r="A27" s="12" t="n"/>
    </row>
    <row r="28">
      <c r="A28" s="12" t="n"/>
    </row>
    <row r="29">
      <c r="A29" s="12" t="n"/>
    </row>
    <row r="30">
      <c r="A30" s="12" t="n"/>
    </row>
    <row r="31">
      <c r="A31" s="12" t="n"/>
    </row>
    <row r="32">
      <c r="A32" s="12" t="n"/>
    </row>
    <row r="33">
      <c r="A33" s="12" t="n"/>
    </row>
    <row r="34">
      <c r="A34" s="12" t="n"/>
    </row>
    <row r="35">
      <c r="A35" s="12" t="n"/>
    </row>
  </sheetData>
  <dataValidations count="1">
    <dataValidation sqref="H2:H13" showDropDown="0" showInputMessage="0" showErrorMessage="1" allowBlank="1" type="list">
      <formula1>"符合,部分符合,不符合,不适用"</formula1>
    </dataValidation>
  </dataValidations>
  <pageMargins left="0.7" right="0.7" top="0.75" bottom="0.75" header="0.3" footer="0.3"/>
  <pageSetup orientation="portrait" paperSize="9"/>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9" defaultRowHeight="14.4"/>
  <sheetData/>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9" defaultRowHeight="14.4"/>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2023-05-12T11:15:00Z</dcterms:created>
  <dcterms:modified xsi:type="dcterms:W3CDTF">2025-01-16T05:00:24Z</dcterms:modified>
  <cp:lastModifiedBy>lllll</cp:lastModifiedBy>
</cp:coreProperties>
</file>

<file path=docProps/custom.xml><?xml version="1.0" encoding="utf-8"?>
<Properties xmlns:vt="http://schemas.openxmlformats.org/officeDocument/2006/docPropsVTypes" xmlns="http://schemas.openxmlformats.org/officeDocument/2006/custom-properties">
  <property name="KSOProductBuildVer" fmtid="{D5CDD505-2E9C-101B-9397-08002B2CF9AE}" pid="2">
    <vt:lpwstr>2052-12.1.0.19770</vt:lpwstr>
  </property>
  <property name="ICV" fmtid="{D5CDD505-2E9C-101B-9397-08002B2CF9AE}" pid="3">
    <vt:lpwstr>B13594CFB519472E9F7B33790E4C44A5_12</vt:lpwstr>
  </property>
</Properties>
</file>