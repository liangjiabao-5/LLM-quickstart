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windowWidth="22188" windowHeight="9180" tabRatio="600" firstSheet="0" activeTab="0" autoFilterDateGrouping="1"/>
  </bookViews>
  <sheets>
    <sheet name="Sheet1" sheetId="1" state="visible" r:id="rId1"/>
    <sheet name="Sheet2" sheetId="2" state="visible" r:id="rId2"/>
    <sheet name="Sheet3" sheetId="3" state="visible" r:id="rId3"/>
  </sheets>
  <definedNames/>
  <calcPr calcId="191029" fullCalcOnLoad="1"/>
</workbook>
</file>

<file path=xl/styles.xml><?xml version="1.0" encoding="utf-8"?>
<styleSheet xmlns="http://schemas.openxmlformats.org/spreadsheetml/2006/main">
  <numFmts count="0"/>
  <fonts count="25">
    <font>
      <name val="宋体"/>
      <charset val="134"/>
      <color theme="1"/>
      <sz val="11"/>
      <scheme val="minor"/>
    </font>
    <font>
      <name val="Calibri"/>
      <charset val="134"/>
      <sz val="11"/>
    </font>
    <font>
      <name val="宋体"/>
      <charset val="134"/>
      <color indexed="8"/>
      <sz val="11"/>
      <scheme val="minor"/>
    </font>
    <font>
      <name val="Calibri"/>
      <charset val="134"/>
      <sz val="11"/>
    </font>
    <font>
      <name val="宋体"/>
      <charset val="0"/>
      <color rgb="FF0000FF"/>
      <sz val="11"/>
      <u val="single"/>
      <scheme val="minor"/>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
      <name val="宋体"/>
      <charset val="134"/>
      <sz val="11"/>
    </font>
    <font>
      <name val="宋体"/>
      <charset val="0"/>
      <color indexed="8"/>
      <sz val="11"/>
      <scheme val="minor"/>
    </font>
  </fonts>
  <fills count="36">
    <fill>
      <patternFill/>
    </fill>
    <fill>
      <patternFill patternType="gray125"/>
    </fill>
    <fill>
      <patternFill patternType="solid">
        <fgColor rgb="FFFF0000"/>
        <bgColor indexed="64"/>
      </patternFill>
    </fill>
    <fill>
      <patternFill patternType="solid">
        <fgColor theme="4"/>
        <bgColor indexed="64"/>
      </patternFill>
    </fill>
    <fill>
      <patternFill patternType="solid">
        <fgColor rgb="FFFFC000"/>
        <bgColor indexed="64"/>
      </patternFill>
    </fill>
    <fill>
      <patternFill patternType="solid">
        <fgColor rgb="FF92D05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0">
    <xf numFmtId="0" fontId="0" fillId="0" borderId="0" applyAlignment="1">
      <alignment vertical="center"/>
    </xf>
    <xf numFmtId="43" fontId="0" fillId="0" borderId="0" applyAlignment="1">
      <alignment vertical="center"/>
    </xf>
    <xf numFmtId="44" fontId="0" fillId="0" borderId="0" applyAlignment="1">
      <alignment vertical="center"/>
    </xf>
    <xf numFmtId="9" fontId="0" fillId="0" borderId="0" applyAlignment="1">
      <alignment vertical="center"/>
    </xf>
    <xf numFmtId="41" fontId="0" fillId="0" borderId="0" applyAlignment="1">
      <alignment vertical="center"/>
    </xf>
    <xf numFmtId="42" fontId="0" fillId="0" borderId="0" applyAlignment="1">
      <alignment vertical="center"/>
    </xf>
    <xf numFmtId="0" fontId="4" fillId="0" borderId="0" applyAlignment="1">
      <alignment vertical="center"/>
    </xf>
    <xf numFmtId="0" fontId="5" fillId="0" borderId="0" applyAlignment="1">
      <alignment vertical="center"/>
    </xf>
    <xf numFmtId="0" fontId="0" fillId="6" borderId="2" applyAlignment="1">
      <alignment vertical="center"/>
    </xf>
    <xf numFmtId="0" fontId="6" fillId="0" borderId="0" applyAlignment="1">
      <alignment vertical="center"/>
    </xf>
    <xf numFmtId="0" fontId="7" fillId="0" borderId="0" applyAlignment="1">
      <alignment vertical="center"/>
    </xf>
    <xf numFmtId="0" fontId="8" fillId="0" borderId="0" applyAlignment="1">
      <alignment vertical="center"/>
    </xf>
    <xf numFmtId="0" fontId="9" fillId="0" borderId="3" applyAlignment="1">
      <alignment vertical="center"/>
    </xf>
    <xf numFmtId="0" fontId="10" fillId="0" borderId="3" applyAlignment="1">
      <alignment vertical="center"/>
    </xf>
    <xf numFmtId="0" fontId="11" fillId="0" borderId="4" applyAlignment="1">
      <alignment vertical="center"/>
    </xf>
    <xf numFmtId="0" fontId="11" fillId="0" borderId="0" applyAlignment="1">
      <alignment vertical="center"/>
    </xf>
    <xf numFmtId="0" fontId="12" fillId="7" borderId="5" applyAlignment="1">
      <alignment vertical="center"/>
    </xf>
    <xf numFmtId="0" fontId="13" fillId="8" borderId="6" applyAlignment="1">
      <alignment vertical="center"/>
    </xf>
    <xf numFmtId="0" fontId="14" fillId="8" borderId="5" applyAlignment="1">
      <alignment vertical="center"/>
    </xf>
    <xf numFmtId="0" fontId="15" fillId="9" borderId="7" applyAlignment="1">
      <alignment vertical="center"/>
    </xf>
    <xf numFmtId="0" fontId="16" fillId="0" borderId="8" applyAlignment="1">
      <alignment vertical="center"/>
    </xf>
    <xf numFmtId="0" fontId="17" fillId="0" borderId="9" applyAlignment="1">
      <alignment vertical="center"/>
    </xf>
    <xf numFmtId="0" fontId="18" fillId="10" borderId="0" applyAlignment="1">
      <alignment vertical="center"/>
    </xf>
    <xf numFmtId="0" fontId="19" fillId="11" borderId="0" applyAlignment="1">
      <alignment vertical="center"/>
    </xf>
    <xf numFmtId="0" fontId="20" fillId="12" borderId="0" applyAlignment="1">
      <alignment vertical="center"/>
    </xf>
    <xf numFmtId="0" fontId="21" fillId="3" borderId="0" applyAlignment="1">
      <alignment vertical="center"/>
    </xf>
    <xf numFmtId="0" fontId="22" fillId="13" borderId="0" applyAlignment="1">
      <alignment vertical="center"/>
    </xf>
    <xf numFmtId="0" fontId="22" fillId="14" borderId="0" applyAlignment="1">
      <alignment vertical="center"/>
    </xf>
    <xf numFmtId="0" fontId="21" fillId="15" borderId="0" applyAlignment="1">
      <alignment vertical="center"/>
    </xf>
    <xf numFmtId="0" fontId="21" fillId="16" borderId="0" applyAlignment="1">
      <alignment vertical="center"/>
    </xf>
    <xf numFmtId="0" fontId="22" fillId="17" borderId="0" applyAlignment="1">
      <alignment vertical="center"/>
    </xf>
    <xf numFmtId="0" fontId="22" fillId="18" borderId="0" applyAlignment="1">
      <alignment vertical="center"/>
    </xf>
    <xf numFmtId="0" fontId="21" fillId="19" borderId="0" applyAlignment="1">
      <alignment vertical="center"/>
    </xf>
    <xf numFmtId="0" fontId="21" fillId="20" borderId="0" applyAlignment="1">
      <alignment vertical="center"/>
    </xf>
    <xf numFmtId="0" fontId="22" fillId="21" borderId="0" applyAlignment="1">
      <alignment vertical="center"/>
    </xf>
    <xf numFmtId="0" fontId="22" fillId="22" borderId="0" applyAlignment="1">
      <alignment vertical="center"/>
    </xf>
    <xf numFmtId="0" fontId="21" fillId="23" borderId="0" applyAlignment="1">
      <alignment vertical="center"/>
    </xf>
    <xf numFmtId="0" fontId="21" fillId="24" borderId="0" applyAlignment="1">
      <alignment vertical="center"/>
    </xf>
    <xf numFmtId="0" fontId="22" fillId="25" borderId="0" applyAlignment="1">
      <alignment vertical="center"/>
    </xf>
    <xf numFmtId="0" fontId="22" fillId="26" borderId="0" applyAlignment="1">
      <alignment vertical="center"/>
    </xf>
    <xf numFmtId="0" fontId="21" fillId="27" borderId="0" applyAlignment="1">
      <alignment vertical="center"/>
    </xf>
    <xf numFmtId="0" fontId="21" fillId="28" borderId="0" applyAlignment="1">
      <alignment vertical="center"/>
    </xf>
    <xf numFmtId="0" fontId="22" fillId="29" borderId="0" applyAlignment="1">
      <alignment vertical="center"/>
    </xf>
    <xf numFmtId="0" fontId="22" fillId="30" borderId="0" applyAlignment="1">
      <alignment vertical="center"/>
    </xf>
    <xf numFmtId="0" fontId="21" fillId="31" borderId="0" applyAlignment="1">
      <alignment vertical="center"/>
    </xf>
    <xf numFmtId="0" fontId="21" fillId="32" borderId="0" applyAlignment="1">
      <alignment vertical="center"/>
    </xf>
    <xf numFmtId="0" fontId="22" fillId="33" borderId="0" applyAlignment="1">
      <alignment vertical="center"/>
    </xf>
    <xf numFmtId="0" fontId="22" fillId="34" borderId="0" applyAlignment="1">
      <alignment vertical="center"/>
    </xf>
    <xf numFmtId="0" fontId="21" fillId="35" borderId="0" applyAlignment="1">
      <alignment vertical="center"/>
    </xf>
    <xf numFmtId="0" fontId="2" fillId="0" borderId="0" applyAlignment="1">
      <alignment vertical="center"/>
    </xf>
  </cellStyleXfs>
  <cellXfs count="14">
    <xf numFmtId="0" fontId="0" fillId="0" borderId="0" applyAlignment="1" pivotButton="0" quotePrefix="0" xfId="0">
      <alignment vertical="center"/>
    </xf>
    <xf numFmtId="0" fontId="1" fillId="0" borderId="0" pivotButton="0" quotePrefix="0" xfId="0"/>
    <xf numFmtId="0" fontId="2" fillId="0" borderId="0" applyAlignment="1" pivotButton="0" quotePrefix="0" xfId="49">
      <alignment vertical="center"/>
    </xf>
    <xf numFmtId="0" fontId="2" fillId="0" borderId="0" applyAlignment="1" pivotButton="0" quotePrefix="0" xfId="49">
      <alignment horizontal="left" vertical="center"/>
    </xf>
    <xf numFmtId="0" fontId="3" fillId="2" borderId="0" pivotButton="0" quotePrefix="0" xfId="0"/>
    <xf numFmtId="0" fontId="3" fillId="2" borderId="0" applyAlignment="1" pivotButton="0" quotePrefix="0" xfId="0">
      <alignment horizontal="left"/>
    </xf>
    <xf numFmtId="0" fontId="2" fillId="0" borderId="1" applyAlignment="1" pivotButton="0" quotePrefix="0" xfId="49">
      <alignment horizontal="center" vertical="center"/>
    </xf>
    <xf numFmtId="0" fontId="2" fillId="0" borderId="1" applyAlignment="1" pivotButton="0" quotePrefix="0" xfId="49">
      <alignment horizontal="left" vertical="center"/>
    </xf>
    <xf numFmtId="0" fontId="1" fillId="3" borderId="0" pivotButton="0" quotePrefix="0" xfId="0"/>
    <xf numFmtId="0" fontId="1" fillId="0" borderId="0" pivotButton="0" quotePrefix="0" xfId="0"/>
    <xf numFmtId="0" fontId="0" fillId="4" borderId="0" applyAlignment="1" pivotButton="0" quotePrefix="0" xfId="0">
      <alignment vertical="center"/>
    </xf>
    <xf numFmtId="0" fontId="1" fillId="4" borderId="0" pivotButton="0" quotePrefix="0" xfId="0"/>
    <xf numFmtId="0" fontId="1" fillId="5" borderId="0" pivotButton="0" quotePrefix="0" xfId="0"/>
    <xf numFmtId="0" fontId="0" fillId="0" borderId="0" pivotButton="0" quotePrefix="0" xfId="0"/>
  </cellXfs>
  <cellStyles count="50">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2" xfId="49"/>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comments/comment1.xml><?xml version="1.0" encoding="utf-8"?>
<comments xmlns="http://schemas.openxmlformats.org/spreadsheetml/2006/main">
  <authors>
    <author>None</author>
  </authors>
  <commentList>
    <comment ref="F2" authorId="0" shapeId="0">
      <text>
        <t>954</t>
      </text>
    </comment>
    <comment ref="F3" authorId="0" shapeId="0">
      <text>
        <t>957</t>
      </text>
    </comment>
    <comment ref="F4" authorId="0" shapeId="0">
      <text>
        <t>955</t>
      </text>
    </comment>
    <comment ref="F5" authorId="0" shapeId="0">
      <text>
        <t>956</t>
      </text>
    </comment>
    <comment ref="F6" authorId="0" shapeId="0">
      <text>
        <t>958</t>
      </text>
    </comment>
    <comment ref="F7" authorId="0" shapeId="0">
      <text>
        <t>959</t>
      </text>
    </comment>
    <comment ref="F8" authorId="0" shapeId="0">
      <text>
        <t>960</t>
      </text>
    </comment>
  </commentList>
</comment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W35"/>
  <sheetViews>
    <sheetView tabSelected="1" workbookViewId="0">
      <selection activeCell="D11" sqref="D11"/>
    </sheetView>
  </sheetViews>
  <sheetFormatPr baseColWidth="8" defaultColWidth="9" defaultRowHeight="14.4" outlineLevelCol="0"/>
  <cols>
    <col width="13.5740740740741" customWidth="1" style="9" min="2" max="2"/>
    <col width="17.287037037037" customWidth="1" style="9" min="3" max="3"/>
    <col width="22.4444444444444" customWidth="1" style="2" min="4" max="4"/>
    <col width="10" customWidth="1" style="2" min="5" max="5"/>
    <col width="35" customWidth="1" style="3" min="6" max="6"/>
    <col width="61.2222222222222" customWidth="1" style="3" min="7" max="7"/>
    <col width="10" customWidth="1" style="2" min="8" max="8"/>
    <col width="3.88888888888889" customWidth="1" style="13" min="10" max="10"/>
    <col width="12.1111111111111" customWidth="1" style="13" min="11" max="11"/>
    <col width="10.7777777777778" customWidth="1" style="13" min="12" max="12"/>
    <col width="4" customWidth="1" style="13" min="14" max="14"/>
    <col width="11.3333333333333" customWidth="1" style="13" min="15" max="15"/>
    <col width="13.4444444444444" customWidth="1" style="13" min="16" max="16"/>
    <col width="10.4444444444444" customWidth="1" style="13" min="17" max="17"/>
    <col width="6.11111111111111" customWidth="1" style="13" min="18" max="18"/>
    <col width="11.1111111111111" customWidth="1" style="13" min="19" max="19"/>
    <col width="11.6666666666667" customWidth="1" style="13" min="20" max="20"/>
    <col width="11.7777777777778" customWidth="1" style="13" min="21" max="21"/>
  </cols>
  <sheetData>
    <row r="1">
      <c r="A1" s="0" t="inlineStr">
        <is>
          <t>report_id</t>
        </is>
      </c>
      <c r="B1" s="9" t="inlineStr">
        <is>
          <t>obj_type</t>
        </is>
      </c>
      <c r="C1" s="9" t="inlineStr">
        <is>
          <t>style_name</t>
        </is>
      </c>
      <c r="D1" s="4" t="inlineStr">
        <is>
          <t>security_class</t>
        </is>
      </c>
      <c r="E1" s="4" t="inlineStr">
        <is>
          <t>security_control_class</t>
        </is>
      </c>
      <c r="F1" s="5" t="inlineStr">
        <is>
          <t>detail</t>
        </is>
      </c>
      <c r="G1" s="5" t="inlineStr">
        <is>
          <t>result_record</t>
        </is>
      </c>
      <c r="H1" s="4" t="inlineStr">
        <is>
          <t>result_score</t>
        </is>
      </c>
      <c r="K1" s="8" t="inlineStr">
        <is>
          <t>qwen_result</t>
        </is>
      </c>
      <c r="L1" s="8" t="inlineStr">
        <is>
          <t>qwen_reason</t>
        </is>
      </c>
      <c r="M1" s="8" t="inlineStr">
        <is>
          <t>qwen问题</t>
        </is>
      </c>
      <c r="N1" s="9" t="n"/>
      <c r="O1" s="10" t="inlineStr">
        <is>
          <t>glm4_result</t>
        </is>
      </c>
      <c r="P1" s="10" t="inlineStr">
        <is>
          <t>glm4_reason</t>
        </is>
      </c>
      <c r="Q1" s="11" t="inlineStr">
        <is>
          <t>glm问题</t>
        </is>
      </c>
      <c r="R1" s="9" t="n"/>
      <c r="S1" s="9" t="inlineStr">
        <is>
          <t>qwen是否一致</t>
        </is>
      </c>
      <c r="T1" s="9" t="inlineStr">
        <is>
          <t>glm4是否一致</t>
        </is>
      </c>
      <c r="U1" s="9" t="inlineStr">
        <is>
          <t>都一致</t>
        </is>
      </c>
      <c r="V1" s="0" t="inlineStr">
        <is>
          <t>realy_result</t>
        </is>
      </c>
      <c r="W1" s="0" t="inlineStr">
        <is>
          <t>reason</t>
        </is>
      </c>
    </row>
    <row r="2">
      <c r="A2" s="9" t="n">
        <v>19412</v>
      </c>
      <c r="B2" s="9" t="inlineStr">
        <is>
          <t>物理机房</t>
        </is>
      </c>
      <c r="C2" s="9" t="inlineStr">
        <is>
          <t>通用</t>
        </is>
      </c>
      <c r="D2" s="6" t="inlineStr">
        <is>
          <t>安全管理制度</t>
        </is>
      </c>
      <c r="E2" s="6" t="inlineStr">
        <is>
          <t>安全策略</t>
        </is>
      </c>
      <c r="F2" s="7" t="inlineStr">
        <is>
          <t>a)应制定网络安全工作的总体方针和安全策略，阐明机构安全工作的总体目标、范围、原则和安全框架等。</t>
        </is>
      </c>
      <c r="G2" s="7" t="inlineStr">
        <is>
          <t>经核查，公司制定了《国网甘肃省电力公司祁连换流站SCADA系统安全防护总体方案》，其中明确了网络安全工作的总体目标、范围、原则和安全框架。
总体目标：加强公司电力监控系统安全防护，防范黑客及恶意入侵等对电力监控系统的攻击侵害，保障电力监控系统及电力调度数据网络安全防护的安全可靠、稳定运行，提高电力监控系统安全防护的安全管理水平。
原则：公司电力监控系统安全防护工作以“安全第一、预防为主，管理和技术并重、综合防范”为方针,遵循“统一领导、统一规划、统一标准、统一组织开发”的要求。按照“安全分区、网络专用、横向隔离、纵向认证、综合防护”的基本原则。
范围：安全防护主要针对网络系统和基于网络的电力生产系统，重点强化边界防护，提高内部安全防护能力，保证电力生产控制系统及重要数据的安全。</t>
        </is>
      </c>
      <c r="H2" s="6" t="inlineStr">
        <is>
          <t>符合</t>
        </is>
      </c>
      <c r="K2" t="inlineStr">
        <is>
          <t>符合</t>
        </is>
      </c>
      <c r="L2" t="inlineStr">
        <is>
          <t>根据提供的内容，我们逐条分析预期结果：
1. **机构有包含网络安全工作的总体方针和策略文件**：
   - 用户输入的内容提到《国网甘肃省电力公司祁连换流站SCADA系统安全防护总体方案》。这是一份总体方针和策略文件，用于指导网络安全管理工作。
2. **上述文件中明确了机构网络安全工作的总体目标、范围、原则和安全框架等**：
   - 总体目标：用户输入的内容明确指出了加强公司电力监控系统安全防护的目标。
   - 范围：用户输入的内容明确指出了安全防护主要针对网络系统和基于网络的电力生产系统。
   - 原则：用户输入的内容详细描述了电力监控系统安全防护的原则。
   - 安全框架：虽然没有直接使用“安全框架”这个词，但内容提到了“安全分区、网络专用、横向隔离、纵向认证、综合防护”等具体措施，这可以视为一种安全框架。
综上所述，用户输入的内容完全符合预期结果中的所有要求。因此，最终判断如下：
**结果：符合**</t>
        </is>
      </c>
      <c r="O2" s="0" t="inlineStr">
        <is>
          <t>符合</t>
        </is>
      </c>
      <c r="P2" s="0" t="inlineStr">
        <is>
          <t>结果：符合
分析如下：
1. 用户提供的content提到了公司制定了《国网甘肃省电力公司祁连换流站SCADA系统安全防护总体方案》，这表明机构确实有包含网络安全工作的总体方针和策略文件，因此第一条预期结果符合。
2. content中也明确说明了“其中明确了网络安全工作的总体目标、范围、原则和安全框架”，这与第二条预期结果相符，即上述文件中包含了这些内容。
3. 从用户提供的内容可以看出，这份方案详细描述了总体目标（如防范黑客及恶意入侵等对电力监控系统的攻击侵害）、原则（如“安全第一、预防为主，管理和技术并重、综合防范”）以及范围（如针对网络系统和基于网络的电力生产系统），这些都对应于预期结果中的要求。
综上所述，所有预期结果均符合，因此最终判断为“结果：符合”。</t>
        </is>
      </c>
      <c r="S2" s="12">
        <f>IF(H2=K2,"一致","不一致")</f>
        <v/>
      </c>
      <c r="T2" s="12">
        <f>IF(H2=O2,"一致","不一致")</f>
        <v/>
      </c>
      <c r="U2" s="12">
        <f>IF(S2=T2,"一致","不一致")</f>
        <v/>
      </c>
    </row>
    <row r="3">
      <c r="A3" s="9" t="n">
        <v>19412</v>
      </c>
      <c r="B3" s="9" t="inlineStr">
        <is>
          <t>物理机房</t>
        </is>
      </c>
      <c r="C3" s="9" t="inlineStr">
        <is>
          <t>通用</t>
        </is>
      </c>
      <c r="D3" s="6" t="inlineStr">
        <is>
          <t>安全管理制度</t>
        </is>
      </c>
      <c r="E3" s="6" t="inlineStr">
        <is>
          <t>管理制度</t>
        </is>
      </c>
      <c r="F3" s="7" t="inlineStr">
        <is>
          <t>a)应对安全管理活动中的各类管理内容建立安全管理制度；</t>
        </is>
      </c>
      <c r="G3" s="7" t="inlineStr">
        <is>
          <t>经核查，公司制定了《国网甘肃省电力公司信息安全防护管理制度》、《国网甘肃省电力公司网络安全运维工作制度》等相关管理制度，针对门禁管理、人员管理、权限管理、访问控制管理、安全防护系统的维护管理、常规设备及各系统的维护管理、恶意代码的防护管理、审计管理、数据及系统的备份管理、用户口令密钥及数字证书的管理、培训管理等一系列的安全管理制度，能够覆盖安全管理活动中的安全管理内容，严格针对各类安全管理活动中的管理内容进行规范和要求。</t>
        </is>
      </c>
      <c r="H3" s="6" t="inlineStr">
        <is>
          <t>符合</t>
        </is>
      </c>
      <c r="K3" t="inlineStr">
        <is>
          <t>符合</t>
        </is>
      </c>
      <c r="L3" t="inlineStr">
        <is>
          <t>根据提供的信息，我们来逐一评估预期结果：
1. **预期结果**：机构已有的安全管理制度能够覆盖安全管理活动中的各类管理内容，能够覆盖安全管理机构、安全管理人员、安全建设管理和安全运维管理的管理内容。
   - **分析**：用户提到公司制定了《国网甘肃省电力公司信息安全防护管理制度》、《国网甘肃省电力公司网络安全运维工作制度》等制度，并详细列出了包括门禁管理、人员管理、权限管理等一系列安全管理制度。这些内容确实涵盖了安全管理机构、安全管理人员、安全建设管理和安全运维管理等多个方面。
   - **结论**：用户输入的内容完全符合预期结果中的要求。
由于仅有一条预期结果需要评估，并且这条预期结果完全符合用户输入的内容，因此最终判断为：
**结果：符合**</t>
        </is>
      </c>
      <c r="O3" s="0" t="inlineStr">
        <is>
          <t>符合</t>
        </is>
      </c>
      <c r="P3" s="0" t="inlineStr">
        <is>
          <t>根据提供的预期结果和用户的输入内容，以下是逐条分析：
1. 用户输入的内容提到“公司制定了《国网甘肃省电力公司信息安全防护管理制度》、《国网甘肃省电力公司网络安全运维工作制度》等相关管理制度”，并且提到了一系列的安全管理制度，包括门禁管理、人员管理、权限管理等。这些信息表明，安全管理机构、安全管理人员、安全建设管理和安全运维管理的管理内容得到了覆盖。
因此，第1条预期结果符合。
综合以上分析，由于所有预期的条件都得到满足，所以最终输出结果是：
结果：符合</t>
        </is>
      </c>
    </row>
    <row r="4">
      <c r="A4" s="9" t="n">
        <v>19412</v>
      </c>
      <c r="B4" s="9" t="inlineStr">
        <is>
          <t>物理机房</t>
        </is>
      </c>
      <c r="C4" s="9" t="inlineStr">
        <is>
          <t>通用</t>
        </is>
      </c>
      <c r="D4" s="6" t="inlineStr">
        <is>
          <t>安全管理制度</t>
        </is>
      </c>
      <c r="E4" s="6" t="inlineStr">
        <is>
          <t>管理制度</t>
        </is>
      </c>
      <c r="F4" s="7" t="inlineStr">
        <is>
          <t>b)应对管理人员或操作人员执行的日常管理操作建立操作规程；</t>
        </is>
      </c>
      <c r="G4" s="7" t="inlineStr">
        <is>
          <t>经核查，具有《国网甘肃省电力公司信息安全防护管理制度》等各类操作规程，能够覆盖管理人员或操作人员执行日常操作的各类规程。</t>
        </is>
      </c>
      <c r="H4" s="6" t="inlineStr">
        <is>
          <t>符合</t>
        </is>
      </c>
      <c r="K4" t="inlineStr">
        <is>
          <t>符合</t>
        </is>
      </c>
      <c r="L4" t="inlineStr">
        <is>
          <t>根据给出的信息，内容提到“具有《国网甘肃省电力公司信息安全防护管理制度》等各类操作规程，能够覆盖管理人员或操作人员执行日常操作的各类规程。”这表明已经具备了能够覆盖日常管理操作的操作规程，如系统维护手册和用户操作规程等，包括网络设备、安全设备、操作系统等的配置规范。
因此，这条预期结果是符合的。
最终判断结果如下：
结果：符合</t>
        </is>
      </c>
      <c r="O4" s="0" t="inlineStr">
        <is>
          <t>符合</t>
        </is>
      </c>
      <c r="P4" s="0" t="inlineStr">
        <is>
          <t>根据提供的预期结果和说明，我们需要检查user输入的内容是否满足以下条件：
1. 是否具有《国网甘肃省电力公司信息安全防护管理制度》等操作规程。
2. 这些操作规程是否能覆盖管理人员或操作人员执行日常操作的各类规程。
User输入的content表明：
- 存在《国网甘肃省电力公司信息安全防护管理制度》，这满足了第一个条件。
- 操作规程能够覆盖管理人员或操作人员执行日常操作的各类规程，这也符合第二个条件。
因此，所有预期结果都得到了满足。
最终判断：结果：符合</t>
        </is>
      </c>
    </row>
    <row r="5">
      <c r="A5" s="9" t="n">
        <v>19412</v>
      </c>
      <c r="B5" s="9" t="inlineStr">
        <is>
          <t>物理机房</t>
        </is>
      </c>
      <c r="C5" s="9" t="inlineStr">
        <is>
          <t>通用</t>
        </is>
      </c>
      <c r="D5" s="6" t="inlineStr">
        <is>
          <t>安全管理制度</t>
        </is>
      </c>
      <c r="E5" s="6" t="inlineStr">
        <is>
          <t>管理制度</t>
        </is>
      </c>
      <c r="F5" s="7" t="inlineStr">
        <is>
          <t>c)应形成由安全策略、管理制度、操作规程、记录表单等构成的全面的安全管理制度体系。</t>
        </is>
      </c>
      <c r="G5" s="7" t="inlineStr">
        <is>
          <t>经核查《国网甘肃省电力公司祁连换流站SCADA系统安全防护总体方案》，形成了总体方针策略、管理制度、操作规程和记录表单的全面的安全管理制度体系，且安全管理制度体系各要素具有连贯性。</t>
        </is>
      </c>
      <c r="H5" s="6" t="inlineStr">
        <is>
          <t>符合</t>
        </is>
      </c>
      <c r="K5" t="inlineStr">
        <is>
          <t>符合</t>
        </is>
      </c>
      <c r="L5" t="inlineStr">
        <is>
          <t>根据提供的内容进行评估：
1. **机构形成了总体方针策略、管理制度、操作规程和记录表单的安全管理制度体系**：
   - 用户输入的内容提到“形成了总体方针策略、管理制度、操作规程和记录表单的全面的安全管理制度体系”，这完全符合预期结果的第一点。
2. **管理制度体系各要素（总体方针策略、管理制度、操作规程和记录表单）各层之间具有连贯性**：
   - 用户输入的内容提到“安全管理制度体系各要素具有连贯性”，这也完全符合预期结果的第二点。
由于用户输入的内容明确支持预期结果中的两个方面，并且没有提到任何缺失的部分，因此可以得出结论：
**结果：符合**</t>
        </is>
      </c>
      <c r="O5" s="0" t="inlineStr">
        <is>
          <t>符合</t>
        </is>
      </c>
      <c r="P5" s="0" t="inlineStr">
        <is>
          <t>根据提供的用户输入的内容，我们可以逐一分析是否符合预期结果：
1. "经核查《国网甘肃省电力公司祁连换流站SCADA系统安全防护总体方案》，形成了总体方针策略、管理制度、操作规程和记录表单的全面的安全管理制度体系。" 
   - 这句话表明已经形成了一个包含总体方针策略、管理制度、操作规程和记录表单的安全管理制度体系，因此符合预期结果的第一点。
2. "且安全管理制度体系各要素具有连贯性。"
   - 这句话说明了安全管理制度体系的各个要素之间存在连贯性，这符合预期结果的第二点。
由于这两点都得到了满足，最终输出应为：
结果：符合</t>
        </is>
      </c>
    </row>
    <row r="6">
      <c r="A6" s="9" t="n">
        <v>19412</v>
      </c>
      <c r="B6" s="9" t="inlineStr">
        <is>
          <t>物理机房</t>
        </is>
      </c>
      <c r="C6" s="9" t="inlineStr">
        <is>
          <t>通用</t>
        </is>
      </c>
      <c r="D6" s="6" t="inlineStr">
        <is>
          <t>安全管理制度</t>
        </is>
      </c>
      <c r="E6" s="6" t="inlineStr">
        <is>
          <t>制定和发布</t>
        </is>
      </c>
      <c r="F6" s="7" t="inlineStr">
        <is>
          <t>a)应指定或授权专门的部门或人员负责安全管理制度的制定；</t>
        </is>
      </c>
      <c r="G6" s="7" t="inlineStr">
        <is>
          <t>经核查，《国网甘肃省电力公司祁连换流站SCADA系统安全防护总体方案》中规定由公司经营策划部牵头规范各规章制度的制定、修订、解释、废止等程序，对规章制度的规范性、合法性进行审核把关，负责本单位规章制度信息化管理有关工作和其他规章制度管理工作。</t>
        </is>
      </c>
      <c r="H6" s="6" t="inlineStr">
        <is>
          <t>符合</t>
        </is>
      </c>
      <c r="K6" t="inlineStr">
        <is>
          <t>符合</t>
        </is>
      </c>
      <c r="L6" t="inlineStr">
        <is>
          <t>根据提供的内容进行分析：
1. **由指定的部门或人员负责安全管理制度的制定**：内容提到“由公司经营策划部牵头规范各规章制度的制定、修订、解释、废止等程序”，这表明公司经营策划部负责规章制度的制定相关工作，符合预期结果的第一条。
2. **相关职责文件明确了由专门的部门或人员负责安全管理制度的制定**：同样地，内容中提到的具体职责也表明了这一要求，即“由公司经营策划部负责本单位规章制度信息化管理有关工作和其他规章制度管理工作”，这也符合预期结果的第二条。
综上所述，用户输入的内容满足所有预期结果的要求。
**最后判断**：结果：符合</t>
        </is>
      </c>
      <c r="O6" s="0" t="inlineStr">
        <is>
          <t>符合</t>
        </is>
      </c>
      <c r="P6" s="0" t="inlineStr">
        <is>
          <t>根据提供的用户输入内容，我们可以对每一条预期结果进行分析：
1. 访谈安全主管或配合人员，了解由什么部门或人员负责安全管理制度的制定，参与定制人员有哪些；
   - 用户输入的内容提到了《国网甘肃省电力公司祁连换流站SCADA系统安全防护总体方案》，其中提到“由公司经营策划部牵头规范各规章制度的制定、修订、解释、废止等程序”，这部分信息与预期结果的第一条相符，因为这里明确指出了哪个部门负责制度的相关工作。
2. 核查人员职责、岗位设置等相关岗位职责文件，查看是否明确授权专门的部门或人员负责安全管理制度的制定。
   - 用户输入的内容中也提到了“公司经营策划部”是负责规章制度相关工作的部门，这表明有明确的部门被授权负责安全管理制度的制定。因此，这也符合预期的第二条结果。
由于用户的输入内容完全符合两条预期结果的要求，最终判断为：
结果：符合</t>
        </is>
      </c>
    </row>
    <row r="7">
      <c r="A7" s="9" t="n">
        <v>19412</v>
      </c>
      <c r="B7" s="9" t="inlineStr">
        <is>
          <t>物理机房</t>
        </is>
      </c>
      <c r="C7" s="9" t="inlineStr">
        <is>
          <t>通用</t>
        </is>
      </c>
      <c r="D7" s="6" t="inlineStr">
        <is>
          <t>安全管理制度</t>
        </is>
      </c>
      <c r="E7" s="6" t="inlineStr">
        <is>
          <t>制定和发布</t>
        </is>
      </c>
      <c r="F7" s="7" t="inlineStr">
        <is>
          <t>b)安全管理制度应通过正式、有效的方式发布，并进行版本控制。</t>
        </is>
      </c>
      <c r="G7" s="7" t="inlineStr">
        <is>
          <t>经核查，《国网甘肃省电力公司祁连换流站SCADA系统安全防护总体方案》明确了安全管理制度的制定和发布程序、格式要求及版本编号等相关内容；安全管理制度的收发登记记录通过内部办公系统以邮件的形式下发，以备核查。</t>
        </is>
      </c>
      <c r="H7" s="6" t="inlineStr">
        <is>
          <t>符合</t>
        </is>
      </c>
      <c r="K7" t="inlineStr">
        <is>
          <t>部分符合</t>
        </is>
      </c>
      <c r="L7" t="inlineStr">
        <is>
          <t>根据提供的信息，我们来逐一评估预期结果：
### 1. 核查制度制定和发布要求管理文档是否对安全管理制度的制定和发布程序、格式要求、版本编号等相关内容进行了说明。
- 用户输入的内容提到《国网甘肃省电力公司祁连换流站SCADA系统安全防护总体方案》明确了安全管理制度的制定和发布程序、格式要求及版本编号等相关内容。
- 这一点符合预期结果1的要求。
### 2. 查看安全管理制度的收发登记记录，核查是否通过正式、有效的方式收发（例如正式发文、领导签署和单位盖章等）安全管理制定，以及是否注明了发布范围。
- 用户输入的内容提到安全管理制度的收发登记记录通过内部办公系统以邮件的形式下发，以备核查。
- 这里提到的方式是“邮件形式”，虽然不是正式发文、领导签署和单位盖章的方式，但未明确指出这种方式不合规，只是说明了一种实际操作方式。
- 如果“邮件形式”被视为一种正式、有效的方式，则符合预期结果2的一部分要求。但是，预期结果2还要求注明发布范围，用户输入中并未提及这一点。
### 结论
- 第一条预期结果完全符合。
- 第二条预期结果部分符合（收发方式符合，但发布范围未提及）。
因此，最终判断为：“结果：部分符合”。</t>
        </is>
      </c>
      <c r="O7" s="0" t="inlineStr">
        <is>
          <t>符合</t>
        </is>
      </c>
      <c r="P7" s="0" t="inlineStr">
        <is>
          <t>根据提供的用户输入内容“经核查，《国网甘肃省电力公司祁连换流站SCADA系统安全防护总体方案》明确了安全管理制度的制定和发布程序、格式要求及版本编号等相关内容；安全管理制度的收发登记记录通过内部办公系统以邮件的形式下发，以备核查。”，我们可以进行如下分析：
1. 用户输入的内容提到了《国网甘肃省电力公司祁连换流站SCADA系统安全防护总体方案》，这个文档明确包含了安全管理制度的制定和发布程序、格式要求及版本编号等内容。这与预期结果的第一点相符。
2. 输入内容还提到安全管理制度的收发登记记录是通过内部办公系统以邮件形式下发的。虽然这一点没有直接提及“正式”或“有效的方式”，但从上下文可以推断出这种方式是为了便于管理和核查，这通常意味着它是一种被认可的正式方式。因此，这也与预期结果的第二点基本相符。
综上所述，两条预期结果均得到了满足，所以最终的判断是：
结果：符合</t>
        </is>
      </c>
    </row>
    <row r="8">
      <c r="A8" s="9" t="n">
        <v>19412</v>
      </c>
      <c r="B8" s="9" t="inlineStr">
        <is>
          <t>物理机房</t>
        </is>
      </c>
      <c r="C8" s="9" t="inlineStr">
        <is>
          <t>通用</t>
        </is>
      </c>
      <c r="D8" s="6" t="inlineStr">
        <is>
          <t>安全管理制度</t>
        </is>
      </c>
      <c r="E8" s="6" t="inlineStr">
        <is>
          <t>评审和修订</t>
        </is>
      </c>
      <c r="F8" s="7" t="inlineStr">
        <is>
          <t>a)应定期对安全管理制度的合理性和适用性进行论证和审定，对存在不足或需要改进的安全管理制度进行修订。</t>
        </is>
      </c>
      <c r="G8" s="7" t="inlineStr">
        <is>
          <t>经核查，公司发布年度制度制（修）订计划，制度归口管理部门负责组织各部门报送年度制度制（修）订计划；每年对安全管理制度体系的合理性和适用性进行审定；在有重大变动或有需求的情况下对安全管理制度进行修订，有审定记录和版本更新。</t>
        </is>
      </c>
      <c r="H8" s="6" t="inlineStr">
        <is>
          <t>符合</t>
        </is>
      </c>
      <c r="K8" t="inlineStr">
        <is>
          <t>符合</t>
        </is>
      </c>
      <c r="L8" t="inlineStr">
        <is>
          <t>**结果：符合**
**说明：**
1. **机构有安全管理制度的核查或评审记录：** 根据提供的信息，“每年对安全管理制度体系的合理性和适用性进行审定”表明公司确实有定期评审安全管理制度的记录。这符合预期结果的第一点要求。
2. **如果对安全管理制度进行了修订，则有修订版本的安全管理制度，且修订内容与评审记录一致：** 信息中提到“在有重大变动或有需求的情况下对安全管理制度进行修订，并有审定记录和版本更新”。这表明公司在需要时会对安全管理制度进行修订，并且有对应的修订版本和审定记录，符合预期结果的第二点要求。
综上所述，用户输入的内容完全满足预期结果的要求，因此判定结果为“符合”。</t>
        </is>
      </c>
      <c r="O8" s="0" t="inlineStr">
        <is>
          <t>符合</t>
        </is>
      </c>
      <c r="P8" s="0" t="inlineStr">
        <is>
          <t>根据提供的content，我们可以逐条分析其是否满足预期结果：
1. **机构有安全管理制度的核查或评审记录**：
   - content中提到“每年对安全管理制度体系的合理性和适用性进行审定”，这表明确实存在安全管理制度核查或评审的记录。因此，这条预期结果是符合的。
2. **如果对安全管理制度进行了修订，则有修订版本的安全管理制度，且修订内容与评审记录一致**：
   - content中也提到了“在有重大变动或有需求的情况下对安全管理制度进行修订，有审定记录和版本更新”。这说明当制度需要修订时，会有相应的修订版以及审定记录，这意味着修订内容与评审记录是一致的。因此，这条预期结果也是符合的。
由于两条预期结果都得到了满足，所以最终输出为：
结果：符合</t>
        </is>
      </c>
    </row>
    <row r="9">
      <c r="A9" s="9" t="n"/>
    </row>
    <row r="10">
      <c r="A10" s="9" t="n"/>
    </row>
    <row r="11">
      <c r="A11" s="9" t="n"/>
    </row>
    <row r="12">
      <c r="A12" s="9" t="n"/>
    </row>
    <row r="13">
      <c r="A13" s="9" t="n"/>
    </row>
    <row r="14">
      <c r="A14" s="9" t="n"/>
    </row>
    <row r="15">
      <c r="A15" s="9" t="n"/>
    </row>
    <row r="16">
      <c r="A16" s="9" t="n"/>
    </row>
    <row r="17">
      <c r="A17" s="9" t="n"/>
    </row>
    <row r="18">
      <c r="A18" s="9" t="n"/>
    </row>
    <row r="19">
      <c r="A19" s="9" t="n"/>
    </row>
    <row r="20">
      <c r="A20" s="9" t="n"/>
    </row>
    <row r="21">
      <c r="A21" s="9" t="n"/>
    </row>
    <row r="22">
      <c r="A22" s="9" t="n"/>
    </row>
    <row r="23">
      <c r="A23" s="9" t="n"/>
    </row>
    <row r="24">
      <c r="A24" s="9" t="n"/>
    </row>
    <row r="25">
      <c r="A25" s="9" t="n"/>
    </row>
    <row r="26">
      <c r="A26" s="9" t="n"/>
    </row>
    <row r="27">
      <c r="A27" s="9" t="n"/>
    </row>
    <row r="28">
      <c r="A28" s="9" t="n"/>
    </row>
    <row r="29">
      <c r="A29" s="9" t="n"/>
    </row>
    <row r="30">
      <c r="A30" s="9" t="n"/>
    </row>
    <row r="31">
      <c r="A31" s="9" t="n"/>
    </row>
    <row r="32">
      <c r="A32" s="9" t="n"/>
    </row>
    <row r="33">
      <c r="A33" s="9" t="n"/>
    </row>
    <row r="34">
      <c r="A34" s="9" t="n"/>
    </row>
    <row r="35">
      <c r="A35" s="9" t="n"/>
    </row>
  </sheetData>
  <dataValidations count="1">
    <dataValidation sqref="H2:H8" showDropDown="0" showInputMessage="0" showErrorMessage="1" allowBlank="1" type="list">
      <formula1>"符合,部分符合,不符合,不适用"</formula1>
    </dataValidation>
  </dataValidations>
  <pageMargins left="0.7" right="0.7" top="0.75" bottom="0.75" header="0.3" footer="0.3"/>
  <pageSetup orientation="portrait" paperSize="9"/>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ColWidth="9" defaultRowHeight="14.4"/>
  <sheetData/>
  <pageMargins left="0.7" right="0.7" top="0.75" bottom="0.75" header="0.3" footer="0.3"/>
  <pageSetup orientation="portrait" paperSize="9"/>
</worksheet>
</file>

<file path=xl/worksheets/sheet3.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ColWidth="9" defaultRowHeight="14.4"/>
  <sheetData/>
  <pageMargins left="0.7" right="0.7" top="0.75" bottom="0.75" header="0.3" footer="0.3"/>
  <pageSetup orientation="portrait" paperSize="9"/>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2023-05-12T11:15:00Z</dcterms:created>
  <dcterms:modified xsi:type="dcterms:W3CDTF">2025-01-17T02:29:11Z</dcterms:modified>
  <cp:lastModifiedBy>lllll</cp:lastModifiedBy>
</cp:coreProperties>
</file>

<file path=docProps/custom.xml><?xml version="1.0" encoding="utf-8"?>
<Properties xmlns:vt="http://schemas.openxmlformats.org/officeDocument/2006/docPropsVTypes" xmlns="http://schemas.openxmlformats.org/officeDocument/2006/custom-properties">
  <property name="KSOProductBuildVer" fmtid="{D5CDD505-2E9C-101B-9397-08002B2CF9AE}" pid="2">
    <vt:lpwstr>2052-12.1.0.19770</vt:lpwstr>
  </property>
  <property name="ICV" fmtid="{D5CDD505-2E9C-101B-9397-08002B2CF9AE}" pid="3">
    <vt:lpwstr>B13594CFB519472E9F7B33790E4C44A5_12</vt:lpwstr>
  </property>
</Properties>
</file>