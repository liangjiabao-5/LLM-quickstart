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2" authorId="0">
      <text>
        <r>
          <rPr>
            <sz val="11"/>
            <color indexed="8"/>
            <rFont val="宋体"/>
            <scheme val="minor"/>
            <charset val="0"/>
          </rPr>
          <t>808</t>
        </r>
      </text>
    </comment>
    <comment ref="F3" authorId="0">
      <text>
        <r>
          <rPr>
            <sz val="11"/>
            <color indexed="8"/>
            <rFont val="宋体"/>
            <scheme val="minor"/>
            <charset val="0"/>
          </rPr>
          <t>809</t>
        </r>
      </text>
    </comment>
    <comment ref="F4" authorId="0">
      <text>
        <r>
          <rPr>
            <sz val="11"/>
            <color indexed="8"/>
            <rFont val="宋体"/>
            <scheme val="minor"/>
            <charset val="0"/>
          </rPr>
          <t>811</t>
        </r>
      </text>
    </comment>
    <comment ref="F5" authorId="0">
      <text>
        <r>
          <rPr>
            <sz val="11"/>
            <color indexed="8"/>
            <rFont val="宋体"/>
            <scheme val="minor"/>
            <charset val="0"/>
          </rPr>
          <t>814</t>
        </r>
      </text>
    </comment>
    <comment ref="F6" authorId="0">
      <text>
        <r>
          <rPr>
            <sz val="11"/>
            <color indexed="8"/>
            <rFont val="宋体"/>
            <scheme val="minor"/>
            <charset val="0"/>
          </rPr>
          <t>812</t>
        </r>
      </text>
    </comment>
    <comment ref="F7" authorId="0">
      <text>
        <r>
          <rPr>
            <sz val="11"/>
            <color indexed="8"/>
            <rFont val="宋体"/>
            <scheme val="minor"/>
            <charset val="0"/>
          </rPr>
          <t>813</t>
        </r>
      </text>
    </comment>
    <comment ref="F8" authorId="0">
      <text>
        <r>
          <rPr>
            <sz val="11"/>
            <color indexed="8"/>
            <rFont val="宋体"/>
            <scheme val="minor"/>
            <charset val="0"/>
          </rPr>
          <t>818</t>
        </r>
      </text>
    </comment>
    <comment ref="F9" authorId="0">
      <text>
        <r>
          <rPr>
            <sz val="11"/>
            <color indexed="8"/>
            <rFont val="宋体"/>
            <scheme val="minor"/>
            <charset val="0"/>
          </rPr>
          <t>817</t>
        </r>
      </text>
    </comment>
    <comment ref="F10" authorId="0">
      <text>
        <r>
          <rPr>
            <sz val="11"/>
            <color indexed="8"/>
            <rFont val="宋体"/>
            <scheme val="minor"/>
            <charset val="0"/>
          </rPr>
          <t>831</t>
        </r>
      </text>
    </comment>
    <comment ref="F11" authorId="0">
      <text>
        <r>
          <rPr>
            <sz val="11"/>
            <color indexed="8"/>
            <rFont val="宋体"/>
            <scheme val="minor"/>
            <charset val="0"/>
          </rPr>
          <t>829</t>
        </r>
      </text>
    </comment>
    <comment ref="F12" authorId="0">
      <text>
        <r>
          <rPr>
            <sz val="11"/>
            <color indexed="8"/>
            <rFont val="宋体"/>
            <scheme val="minor"/>
            <charset val="0"/>
          </rPr>
          <t>830</t>
        </r>
      </text>
    </comment>
    <comment ref="F13" authorId="0">
      <text>
        <r>
          <rPr>
            <sz val="11"/>
            <color indexed="8"/>
            <rFont val="宋体"/>
            <scheme val="minor"/>
            <charset val="0"/>
          </rPr>
          <t>832</t>
        </r>
      </text>
    </comment>
    <comment ref="F14" authorId="0">
      <text>
        <r>
          <rPr>
            <sz val="11"/>
            <color indexed="8"/>
            <rFont val="宋体"/>
            <scheme val="minor"/>
            <charset val="0"/>
          </rPr>
          <t>834</t>
        </r>
      </text>
    </comment>
    <comment ref="F15" authorId="0">
      <text>
        <r>
          <rPr>
            <sz val="11"/>
            <color indexed="8"/>
            <rFont val="宋体"/>
            <scheme val="minor"/>
            <charset val="0"/>
          </rPr>
          <t>833</t>
        </r>
      </text>
    </comment>
    <comment ref="F16" authorId="0">
      <text>
        <r>
          <rPr>
            <sz val="11"/>
            <color indexed="8"/>
            <rFont val="宋体"/>
            <scheme val="minor"/>
            <charset val="0"/>
          </rPr>
          <t>839</t>
        </r>
      </text>
    </comment>
    <comment ref="F17" authorId="0">
      <text>
        <r>
          <rPr>
            <sz val="11"/>
            <color indexed="8"/>
            <rFont val="宋体"/>
            <scheme val="minor"/>
            <charset val="0"/>
          </rPr>
          <t>838</t>
        </r>
      </text>
    </comment>
    <comment ref="F18" authorId="0">
      <text>
        <r>
          <rPr>
            <sz val="11"/>
            <color indexed="8"/>
            <rFont val="宋体"/>
            <scheme val="minor"/>
            <charset val="0"/>
          </rPr>
          <t>840</t>
        </r>
      </text>
    </comment>
    <comment ref="F19" authorId="0">
      <text>
        <r>
          <rPr>
            <sz val="11"/>
            <color indexed="8"/>
            <rFont val="宋体"/>
            <scheme val="minor"/>
            <charset val="0"/>
          </rPr>
          <t>841</t>
        </r>
      </text>
    </comment>
    <comment ref="F20" authorId="0">
      <text>
        <r>
          <rPr>
            <sz val="11"/>
            <color indexed="8"/>
            <rFont val="宋体"/>
            <scheme val="minor"/>
            <charset val="0"/>
          </rPr>
          <t>843</t>
        </r>
      </text>
    </comment>
    <comment ref="F21" authorId="0">
      <text>
        <r>
          <rPr>
            <sz val="11"/>
            <color indexed="8"/>
            <rFont val="宋体"/>
            <scheme val="minor"/>
            <charset val="0"/>
          </rPr>
          <t>842</t>
        </r>
      </text>
    </comment>
    <comment ref="F22" authorId="0">
      <text>
        <r>
          <rPr>
            <sz val="11"/>
            <color indexed="8"/>
            <rFont val="宋体"/>
            <scheme val="minor"/>
            <charset val="0"/>
          </rPr>
          <t>848</t>
        </r>
      </text>
    </comment>
    <comment ref="F23" authorId="0">
      <text>
        <r>
          <rPr>
            <sz val="11"/>
            <color indexed="8"/>
            <rFont val="宋体"/>
            <scheme val="minor"/>
            <charset val="0"/>
          </rPr>
          <t>847</t>
        </r>
      </text>
    </comment>
  </commentList>
</comments>
</file>

<file path=xl/sharedStrings.xml><?xml version="1.0" encoding="utf-8"?>
<sst xmlns="http://schemas.openxmlformats.org/spreadsheetml/2006/main" count="171" uniqueCount="77">
  <si>
    <t>report_id</t>
  </si>
  <si>
    <t>obj_type</t>
  </si>
  <si>
    <t>style_name</t>
  </si>
  <si>
    <t>security_class</t>
  </si>
  <si>
    <t>security_control_class</t>
  </si>
  <si>
    <t>detail</t>
  </si>
  <si>
    <t>result_record</t>
  </si>
  <si>
    <t>result_score</t>
  </si>
  <si>
    <t>qwen_result</t>
  </si>
  <si>
    <t>qwen_reason</t>
  </si>
  <si>
    <r>
      <rPr>
        <sz val="11"/>
        <rFont val="Calibri"/>
        <charset val="134"/>
      </rPr>
      <t>qwen</t>
    </r>
    <r>
      <rPr>
        <sz val="11"/>
        <rFont val="宋体"/>
        <charset val="134"/>
      </rPr>
      <t>问题</t>
    </r>
  </si>
  <si>
    <t>glm4_result</t>
  </si>
  <si>
    <t>glm4_reason</t>
  </si>
  <si>
    <r>
      <rPr>
        <sz val="11"/>
        <rFont val="Calibri"/>
        <charset val="134"/>
      </rPr>
      <t>glm</t>
    </r>
    <r>
      <rPr>
        <sz val="11"/>
        <rFont val="宋体"/>
        <charset val="134"/>
      </rPr>
      <t>问题</t>
    </r>
  </si>
  <si>
    <t>qwen是否一致</t>
  </si>
  <si>
    <t>glm4是否一致</t>
  </si>
  <si>
    <t>都一致</t>
  </si>
  <si>
    <t>物理机房</t>
  </si>
  <si>
    <t>通用</t>
  </si>
  <si>
    <t>安全物理环境</t>
  </si>
  <si>
    <t>物理位置选择</t>
  </si>
  <si>
    <t>a)机房场地应选择在具有防震、防风和防雨等能力的建筑内；</t>
  </si>
  <si>
    <t>1)经核查，机房所在建筑有抗震设防审批文档“主控楼机房验收文档”；
2)经核查，机房屋顶和窗户不存在雨水渗透痕迹；
3)经核查，机房门窗已进行了密封，机房内不存在因风导致的尘土严重；
4)经核查，机房屋顶、四周墙体、门窗及地面无破损开裂。</t>
  </si>
  <si>
    <t>符合</t>
  </si>
  <si>
    <t>b)机房场地应避免设在建筑物的顶层或地下室，否则应加强防水和防潮措施。</t>
  </si>
  <si>
    <t>经核查，机房所在建筑物共4层，机房设在3层；机房采取了空调除湿、铺设专用管道等防水和防潮措施。</t>
  </si>
  <si>
    <t>物理访问控制</t>
  </si>
  <si>
    <t>a)机房出入口应配置电子门禁系统，控制、鉴别和记录进入的人员。</t>
  </si>
  <si>
    <t>1)经核查，机房出入口安装了海康威视电子门禁系统，能够控制、鉴别和记录进入的人员；
2)经核查，机房出入口安排有24小时专人值守；且部署声光报警系统。</t>
  </si>
  <si>
    <t>防盗窃和防破坏</t>
  </si>
  <si>
    <t>a)应将设备或主要部件进行固定，并设置明显的不易除去的标识；</t>
  </si>
  <si>
    <t>1)经核查，机房内设备和主要部件通过螺丝固定在机柜内，机柜用螺丝进行固定；
2)经核查，设备接线设置有明显的不易除去的标识。</t>
  </si>
  <si>
    <t>b)应将通信线缆铺设在隐蔽安全处；</t>
  </si>
  <si>
    <t>经核查，机房内通信线路部署在机柜下方，分开铺设于不同的线槽中，部署位置隐蔽且安全，可以防止线缆受损。</t>
  </si>
  <si>
    <t>c)应设置机房防盗报警系统或设置有专人值守的视频监控系统。</t>
  </si>
  <si>
    <t>1)经核查，机房安装了视频监控系统，视频监控系统有专人值守，机房内部署了2个监控探头。视频监控系统厂家：BITCOM；
2)经核查，视频监控系统工作正常。</t>
  </si>
  <si>
    <t>防雷击</t>
  </si>
  <si>
    <t>a)应将各类机柜、设施和设备等通过接地系统安全接地；</t>
  </si>
  <si>
    <t>1)经核查，机房内所有机柜、设施和设备均有接地线进行接地处理；
2)经核查，机柜内设备接地线连接了机柜。</t>
  </si>
  <si>
    <t>b)应采取措施防止感应雷，例如设置防雷保安器或过压保护装置等。</t>
  </si>
  <si>
    <t>1)经核查，机房安装了防雷保安器，能够防止感应雷；
2)经核查，防雷保安器已通过相关部门技术检测，有防雷保安器检测报告，报告显示可以有效地保护系统免受侵入的感应雷达的损坏。</t>
  </si>
  <si>
    <t>防火</t>
  </si>
  <si>
    <t>a)机房应设置火灾自动消防系统，能够自动检测火情、自动报警，并自动灭火；</t>
  </si>
  <si>
    <t>1)经核查，机房设置了火灾自动消防系统。厂家：利达，型号：JB-QT-GST5000，喷洒气体：七氟丙烷；
2)经核查，火灾自动消防系统气缸压力为2.8MPa,未低于阈值，系统工作正常，能够实现自动灭火；
3)经核查，机房屋顶已安装烟感、温感探头，能够实现自动检测火情、自动报警；
4)经核查，机房内放置了二氧化碳灭火器。</t>
  </si>
  <si>
    <t>b)机房及相关的工作房间和辅助房应采用具有耐火等级的建筑材料；</t>
  </si>
  <si>
    <t>经核查，机房及相关的工作房间和辅助房采用了钢制隔热防火门、墙壁涂抹了防护涂料等具有耐火等级的建筑材料。</t>
  </si>
  <si>
    <t>c)应对机房划分区域进行管理，区域和区域之间设置隔离防火措施。</t>
  </si>
  <si>
    <t>1)经核查，机房划分了核心设备区、工程师站区等不同区域；
2)经核查，各区域间设置了钢质隔热防火门和防火隔离墙，墙体采用了具有耐火等级的建筑材料，能够有效防止火灾的蔓延。</t>
  </si>
  <si>
    <t>防水和防潮</t>
  </si>
  <si>
    <t>a)应采取措施防止雨水通过机房窗户、屋顶和墙壁渗透；</t>
  </si>
  <si>
    <t>1)经核查，机房已封锁窗户，屋顶和墙壁采取密封措施防止雨水渗透；
2)经核查，机房不存在雨水渗透痕迹。</t>
  </si>
  <si>
    <t>b)应采取措施防止机房内水蒸气结露和地下积水的转移与渗透；</t>
  </si>
  <si>
    <t>1)经核查，系统所在地区常年干旱，无需除湿；
2)经核查，机房采取设置专用排水管道的措施排泄积水。</t>
  </si>
  <si>
    <t>c)应安装对水敏感的检测仪表或元件，对机房进行防水检测和报警。</t>
  </si>
  <si>
    <r>
      <rPr>
        <sz val="11"/>
        <color indexed="10"/>
        <rFont val="Calibri"/>
        <charset val="134"/>
      </rPr>
      <t>经核查，机房未安装对水敏感的检测仪表或元件，无法对机房进行防水检测和报警。</t>
    </r>
  </si>
  <si>
    <t>不符合</t>
  </si>
  <si>
    <t>防静电</t>
  </si>
  <si>
    <t>a)应采用防静电地板或地面并采用必要的接地防静电措施；</t>
  </si>
  <si>
    <t>1)经核查，机房铺设了防静电地板；
2)经核查，机房内设备和主要部件均进行接地。</t>
  </si>
  <si>
    <t>b)应采取措施防止静电的产生，例如采用静电消除器、佩戴防静电手环等。</t>
  </si>
  <si>
    <r>
      <rPr>
        <sz val="11"/>
        <color indexed="10"/>
        <rFont val="Calibri"/>
        <charset val="134"/>
      </rPr>
      <t>经核查，机房未配备防静电手环等防静电设备，无法防止静电的产生。</t>
    </r>
  </si>
  <si>
    <t>温湿度控制</t>
  </si>
  <si>
    <t>a)应设置温湿度自动调节设施，使机房温湿度的变化在设备运行所允许的范围之内。</t>
  </si>
  <si>
    <r>
      <rPr>
        <sz val="11"/>
        <color indexed="10"/>
        <rFont val="Calibri"/>
        <charset val="134"/>
      </rPr>
      <t>1)经核查，机房配备了中央空调，厂家：LG，型号：ARUO25MT4；可以对机房温度进行自动调节，但无法对湿度进行自动调节。
2)经核查，机房有温度计量装置，有湿度计量装置；
3)经核查，机房内平均温度为18.3℃，湿度为20%，温度在设备运行所允许的范围内，湿度偏低。</t>
    </r>
  </si>
  <si>
    <t>部分符合</t>
  </si>
  <si>
    <t>电力供应</t>
  </si>
  <si>
    <t>a)应在机房供电线路上配置稳压器和过电压防护设备；</t>
  </si>
  <si>
    <t>经核查，机房供电线路上UPS具有过压保护功能，厂家：山东鲁能，型号：AHP-30K-1-DC110。</t>
  </si>
  <si>
    <t>b)应提供短期的备用电力供应，至少满足设备在断电情况下的正常运行要求；</t>
  </si>
  <si>
    <t>1)经核查，机房配备了2组UPS系统，厂家：山东鲁能，型号：AHP-30K-1-DC110，UPS系统蓄电池组容量为：2V1200AH；
2)经核查，UPS系统蓄电池组每三个月充电检查一次，有测试巡检记录，巡检频次：1次/天，UPS系统可以保证断电情况下2小时的正常运行。</t>
  </si>
  <si>
    <t>c)应设置冗余或并行的电力电缆线路为计算机系统供电。</t>
  </si>
  <si>
    <t>1)经核查，机房供电采用冗余方式为计算机系统供电，一路交流旁路电源，一路直流UPS电源；
2)经核查，机房主要设备采用双电源供电，双电源来自两路不同电力电缆。</t>
  </si>
  <si>
    <t>电磁防护</t>
  </si>
  <si>
    <t>a)电源线和通信线缆应隔离铺设，避免互相干扰；</t>
  </si>
  <si>
    <t>1)经核查，电源线部署在机柜上方的上层线槽内，通信线缆部署在机柜下方下层线槽；
2)经核查，机柜内通信线路和电源线是分开走线。</t>
  </si>
  <si>
    <t>b)应对关键设备实施电磁屏蔽。</t>
  </si>
  <si>
    <r>
      <rPr>
        <sz val="11"/>
        <color indexed="10"/>
        <rFont val="Calibri"/>
        <charset val="134"/>
      </rPr>
      <t>未对关键设备和关键区域实施电磁屏蔽。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</si>
</sst>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Calibri"/>
      <charset val="134"/>
    </font>
    <font>
      <sz val="11"/>
      <name val="宋体"/>
      <charset val="134"/>
    </font>
    <font>
      <sz val="11"/>
      <color indexed="8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1" fillId="0" borderId="0" xfId="0" applyFont="1" applyAlignment="1"/>
    <xf numFmtId="0" fontId="1" fillId="3" borderId="0" xfId="0" applyFont="1" applyFill="1" applyAlignment="1"/>
    <xf numFmtId="0" fontId="1" fillId="3" borderId="0" xfId="0" applyFont="1" applyFill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4" borderId="0" xfId="0" applyFont="1" applyFill="1" applyAlignment="1"/>
    <xf numFmtId="0" fontId="0" fillId="5" borderId="0" xfId="0" applyFill="1" applyAlignment="1">
      <alignment vertical="center"/>
    </xf>
    <xf numFmtId="0" fontId="1" fillId="5" borderId="0" xfId="0" applyFont="1" applyFill="1" applyAlignment="1"/>
    <xf numFmtId="0" fontId="1" fillId="6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"/>
  <sheetViews>
    <sheetView tabSelected="1" workbookViewId="0">
      <selection activeCell="F16" sqref="F16"/>
    </sheetView>
  </sheetViews>
  <sheetFormatPr defaultColWidth="9" defaultRowHeight="14.4"/>
  <cols>
    <col min="2" max="2" width="13.5740740740741" style="1" customWidth="1"/>
    <col min="3" max="3" width="17.287037037037" style="1" customWidth="1"/>
    <col min="4" max="4" width="15.8888888888889" style="2" customWidth="1"/>
    <col min="5" max="5" width="15.7777777777778" style="2" customWidth="1"/>
    <col min="6" max="6" width="53.3333333333333" style="3" customWidth="1"/>
    <col min="7" max="7" width="53.4444444444444" style="3" customWidth="1"/>
    <col min="8" max="8" width="15.7777777777778" style="4" customWidth="1"/>
    <col min="10" max="10" width="3.88888888888889" customWidth="1"/>
    <col min="11" max="11" width="12.1111111111111" customWidth="1"/>
    <col min="12" max="12" width="10.7777777777778" customWidth="1"/>
    <col min="14" max="14" width="4" customWidth="1"/>
    <col min="15" max="15" width="11.3333333333333" customWidth="1"/>
    <col min="16" max="16" width="13.4444444444444" customWidth="1"/>
    <col min="17" max="17" width="10.4444444444444" customWidth="1"/>
    <col min="18" max="18" width="6.11111111111111" customWidth="1"/>
    <col min="19" max="19" width="11.1111111111111" customWidth="1"/>
    <col min="20" max="20" width="11.6666666666667" customWidth="1"/>
    <col min="21" max="21" width="11.7777777777778" customWidth="1"/>
  </cols>
  <sheetData>
    <row r="1" spans="1:21">
      <c r="A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K1" s="10" t="s">
        <v>8</v>
      </c>
      <c r="L1" s="10" t="s">
        <v>9</v>
      </c>
      <c r="M1" s="10" t="s">
        <v>10</v>
      </c>
      <c r="N1" s="4"/>
      <c r="O1" s="11" t="s">
        <v>11</v>
      </c>
      <c r="P1" s="11" t="s">
        <v>12</v>
      </c>
      <c r="Q1" s="12" t="s">
        <v>13</v>
      </c>
      <c r="R1" s="1"/>
      <c r="S1" s="1" t="s">
        <v>14</v>
      </c>
      <c r="T1" s="1" t="s">
        <v>15</v>
      </c>
      <c r="U1" s="1" t="s">
        <v>16</v>
      </c>
    </row>
    <row r="2" spans="1:21">
      <c r="A2" s="1">
        <v>19412</v>
      </c>
      <c r="B2" s="1" t="s">
        <v>17</v>
      </c>
      <c r="C2" s="1" t="s">
        <v>18</v>
      </c>
      <c r="D2" s="7" t="s">
        <v>19</v>
      </c>
      <c r="E2" s="8" t="s">
        <v>20</v>
      </c>
      <c r="F2" s="9" t="s">
        <v>21</v>
      </c>
      <c r="G2" s="9" t="s">
        <v>22</v>
      </c>
      <c r="H2" s="8" t="s">
        <v>23</v>
      </c>
      <c r="S2" s="13" t="str">
        <f>IF(H2=K2,"一致","不一致")</f>
        <v>不一致</v>
      </c>
      <c r="T2" s="13" t="str">
        <f>IF(H2=O2,"一致","不一致")</f>
        <v>不一致</v>
      </c>
      <c r="U2" s="13" t="str">
        <f>IF(S2=T2,"一致","不一致")</f>
        <v>一致</v>
      </c>
    </row>
    <row r="3" spans="1:8">
      <c r="A3" s="1">
        <v>19412</v>
      </c>
      <c r="B3" s="1" t="s">
        <v>17</v>
      </c>
      <c r="C3" s="1" t="s">
        <v>18</v>
      </c>
      <c r="D3" s="7" t="s">
        <v>19</v>
      </c>
      <c r="E3" s="8" t="s">
        <v>20</v>
      </c>
      <c r="F3" s="9" t="s">
        <v>24</v>
      </c>
      <c r="G3" s="9" t="s">
        <v>25</v>
      </c>
      <c r="H3" s="8" t="s">
        <v>23</v>
      </c>
    </row>
    <row r="4" spans="1:8">
      <c r="A4" s="1">
        <v>19412</v>
      </c>
      <c r="B4" s="1" t="s">
        <v>17</v>
      </c>
      <c r="C4" s="1" t="s">
        <v>18</v>
      </c>
      <c r="D4" s="7" t="s">
        <v>19</v>
      </c>
      <c r="E4" s="8" t="s">
        <v>26</v>
      </c>
      <c r="F4" s="9" t="s">
        <v>27</v>
      </c>
      <c r="G4" s="9" t="s">
        <v>28</v>
      </c>
      <c r="H4" s="8" t="s">
        <v>23</v>
      </c>
    </row>
    <row r="5" spans="1:8">
      <c r="A5" s="1">
        <v>19412</v>
      </c>
      <c r="B5" s="1" t="s">
        <v>17</v>
      </c>
      <c r="C5" s="1" t="s">
        <v>18</v>
      </c>
      <c r="D5" s="7" t="s">
        <v>19</v>
      </c>
      <c r="E5" s="8" t="s">
        <v>29</v>
      </c>
      <c r="F5" s="9" t="s">
        <v>30</v>
      </c>
      <c r="G5" s="9" t="s">
        <v>31</v>
      </c>
      <c r="H5" s="8" t="s">
        <v>23</v>
      </c>
    </row>
    <row r="6" spans="1:8">
      <c r="A6" s="1">
        <v>19412</v>
      </c>
      <c r="B6" s="1" t="s">
        <v>17</v>
      </c>
      <c r="C6" s="1" t="s">
        <v>18</v>
      </c>
      <c r="D6" s="7" t="s">
        <v>19</v>
      </c>
      <c r="E6" s="8" t="s">
        <v>29</v>
      </c>
      <c r="F6" s="9" t="s">
        <v>32</v>
      </c>
      <c r="G6" s="9" t="s">
        <v>33</v>
      </c>
      <c r="H6" s="8" t="s">
        <v>23</v>
      </c>
    </row>
    <row r="7" spans="1:8">
      <c r="A7" s="1">
        <v>19412</v>
      </c>
      <c r="B7" s="1" t="s">
        <v>17</v>
      </c>
      <c r="C7" s="1" t="s">
        <v>18</v>
      </c>
      <c r="D7" s="7" t="s">
        <v>19</v>
      </c>
      <c r="E7" s="8" t="s">
        <v>29</v>
      </c>
      <c r="F7" s="9" t="s">
        <v>34</v>
      </c>
      <c r="G7" s="9" t="s">
        <v>35</v>
      </c>
      <c r="H7" s="8" t="s">
        <v>23</v>
      </c>
    </row>
    <row r="8" spans="1:8">
      <c r="A8" s="1">
        <v>19412</v>
      </c>
      <c r="B8" s="1" t="s">
        <v>17</v>
      </c>
      <c r="C8" s="1" t="s">
        <v>18</v>
      </c>
      <c r="D8" s="7" t="s">
        <v>19</v>
      </c>
      <c r="E8" s="8" t="s">
        <v>36</v>
      </c>
      <c r="F8" s="9" t="s">
        <v>37</v>
      </c>
      <c r="G8" s="9" t="s">
        <v>38</v>
      </c>
      <c r="H8" s="8" t="s">
        <v>23</v>
      </c>
    </row>
    <row r="9" spans="1:8">
      <c r="A9" s="1">
        <v>19412</v>
      </c>
      <c r="B9" s="1" t="s">
        <v>17</v>
      </c>
      <c r="C9" s="1" t="s">
        <v>18</v>
      </c>
      <c r="D9" s="7" t="s">
        <v>19</v>
      </c>
      <c r="E9" s="8" t="s">
        <v>36</v>
      </c>
      <c r="F9" s="9" t="s">
        <v>39</v>
      </c>
      <c r="G9" s="9" t="s">
        <v>40</v>
      </c>
      <c r="H9" s="8" t="s">
        <v>23</v>
      </c>
    </row>
    <row r="10" spans="1:8">
      <c r="A10" s="1">
        <v>19412</v>
      </c>
      <c r="B10" s="1" t="s">
        <v>17</v>
      </c>
      <c r="C10" s="1" t="s">
        <v>18</v>
      </c>
      <c r="D10" s="7" t="s">
        <v>19</v>
      </c>
      <c r="E10" s="8" t="s">
        <v>41</v>
      </c>
      <c r="F10" s="9" t="s">
        <v>42</v>
      </c>
      <c r="G10" s="9" t="s">
        <v>43</v>
      </c>
      <c r="H10" s="8" t="s">
        <v>23</v>
      </c>
    </row>
    <row r="11" spans="1:8">
      <c r="A11" s="1">
        <v>19412</v>
      </c>
      <c r="B11" s="1" t="s">
        <v>17</v>
      </c>
      <c r="C11" s="1" t="s">
        <v>18</v>
      </c>
      <c r="D11" s="7" t="s">
        <v>19</v>
      </c>
      <c r="E11" s="8" t="s">
        <v>41</v>
      </c>
      <c r="F11" s="9" t="s">
        <v>44</v>
      </c>
      <c r="G11" s="9" t="s">
        <v>45</v>
      </c>
      <c r="H11" s="8" t="s">
        <v>23</v>
      </c>
    </row>
    <row r="12" spans="1:8">
      <c r="A12" s="1">
        <v>19412</v>
      </c>
      <c r="B12" s="1" t="s">
        <v>17</v>
      </c>
      <c r="C12" s="1" t="s">
        <v>18</v>
      </c>
      <c r="D12" s="7" t="s">
        <v>19</v>
      </c>
      <c r="E12" s="8" t="s">
        <v>41</v>
      </c>
      <c r="F12" s="9" t="s">
        <v>46</v>
      </c>
      <c r="G12" s="9" t="s">
        <v>47</v>
      </c>
      <c r="H12" s="8" t="s">
        <v>23</v>
      </c>
    </row>
    <row r="13" spans="1:8">
      <c r="A13" s="1">
        <v>19412</v>
      </c>
      <c r="B13" s="1" t="s">
        <v>17</v>
      </c>
      <c r="C13" s="1" t="s">
        <v>18</v>
      </c>
      <c r="D13" s="7" t="s">
        <v>19</v>
      </c>
      <c r="E13" s="8" t="s">
        <v>48</v>
      </c>
      <c r="F13" s="9" t="s">
        <v>49</v>
      </c>
      <c r="G13" s="9" t="s">
        <v>50</v>
      </c>
      <c r="H13" s="8" t="s">
        <v>23</v>
      </c>
    </row>
    <row r="14" spans="1:8">
      <c r="A14" s="1">
        <v>19412</v>
      </c>
      <c r="B14" s="1" t="s">
        <v>17</v>
      </c>
      <c r="C14" s="1" t="s">
        <v>18</v>
      </c>
      <c r="D14" s="7" t="s">
        <v>19</v>
      </c>
      <c r="E14" s="8" t="s">
        <v>48</v>
      </c>
      <c r="F14" s="9" t="s">
        <v>51</v>
      </c>
      <c r="G14" s="9" t="s">
        <v>52</v>
      </c>
      <c r="H14" s="8" t="s">
        <v>23</v>
      </c>
    </row>
    <row r="15" spans="1:8">
      <c r="A15" s="1">
        <v>19412</v>
      </c>
      <c r="B15" s="1" t="s">
        <v>17</v>
      </c>
      <c r="C15" s="1" t="s">
        <v>18</v>
      </c>
      <c r="D15" s="7" t="s">
        <v>19</v>
      </c>
      <c r="E15" s="8" t="s">
        <v>48</v>
      </c>
      <c r="F15" s="9" t="s">
        <v>53</v>
      </c>
      <c r="G15" s="9" t="s">
        <v>54</v>
      </c>
      <c r="H15" s="8" t="s">
        <v>55</v>
      </c>
    </row>
    <row r="16" spans="1:8">
      <c r="A16" s="1">
        <v>19412</v>
      </c>
      <c r="B16" s="1" t="s">
        <v>17</v>
      </c>
      <c r="C16" s="1" t="s">
        <v>18</v>
      </c>
      <c r="D16" s="7" t="s">
        <v>19</v>
      </c>
      <c r="E16" s="8" t="s">
        <v>56</v>
      </c>
      <c r="F16" s="9" t="s">
        <v>57</v>
      </c>
      <c r="G16" s="9" t="s">
        <v>58</v>
      </c>
      <c r="H16" s="8" t="s">
        <v>23</v>
      </c>
    </row>
    <row r="17" spans="1:8">
      <c r="A17" s="1">
        <v>19412</v>
      </c>
      <c r="B17" s="1" t="s">
        <v>17</v>
      </c>
      <c r="C17" s="1" t="s">
        <v>18</v>
      </c>
      <c r="D17" s="7" t="s">
        <v>19</v>
      </c>
      <c r="E17" s="8" t="s">
        <v>56</v>
      </c>
      <c r="F17" s="9" t="s">
        <v>59</v>
      </c>
      <c r="G17" s="9" t="s">
        <v>60</v>
      </c>
      <c r="H17" s="8" t="s">
        <v>55</v>
      </c>
    </row>
    <row r="18" spans="1:8">
      <c r="A18" s="1">
        <v>19412</v>
      </c>
      <c r="B18" s="1" t="s">
        <v>17</v>
      </c>
      <c r="C18" s="1" t="s">
        <v>18</v>
      </c>
      <c r="D18" s="7" t="s">
        <v>19</v>
      </c>
      <c r="E18" s="8" t="s">
        <v>61</v>
      </c>
      <c r="F18" s="9" t="s">
        <v>62</v>
      </c>
      <c r="G18" s="9" t="s">
        <v>63</v>
      </c>
      <c r="H18" s="8" t="s">
        <v>64</v>
      </c>
    </row>
    <row r="19" spans="1:8">
      <c r="A19" s="1">
        <v>19412</v>
      </c>
      <c r="B19" s="1" t="s">
        <v>17</v>
      </c>
      <c r="C19" s="1" t="s">
        <v>18</v>
      </c>
      <c r="D19" s="7" t="s">
        <v>19</v>
      </c>
      <c r="E19" s="8" t="s">
        <v>65</v>
      </c>
      <c r="F19" s="9" t="s">
        <v>66</v>
      </c>
      <c r="G19" s="9" t="s">
        <v>67</v>
      </c>
      <c r="H19" s="8" t="s">
        <v>23</v>
      </c>
    </row>
    <row r="20" spans="1:8">
      <c r="A20" s="1">
        <v>19412</v>
      </c>
      <c r="B20" s="1" t="s">
        <v>17</v>
      </c>
      <c r="C20" s="1" t="s">
        <v>18</v>
      </c>
      <c r="D20" s="7" t="s">
        <v>19</v>
      </c>
      <c r="E20" s="8" t="s">
        <v>65</v>
      </c>
      <c r="F20" s="9" t="s">
        <v>68</v>
      </c>
      <c r="G20" s="9" t="s">
        <v>69</v>
      </c>
      <c r="H20" s="8" t="s">
        <v>23</v>
      </c>
    </row>
    <row r="21" spans="1:8">
      <c r="A21" s="1">
        <v>19412</v>
      </c>
      <c r="B21" s="1" t="s">
        <v>17</v>
      </c>
      <c r="C21" s="1" t="s">
        <v>18</v>
      </c>
      <c r="D21" s="7" t="s">
        <v>19</v>
      </c>
      <c r="E21" s="8" t="s">
        <v>65</v>
      </c>
      <c r="F21" s="9" t="s">
        <v>70</v>
      </c>
      <c r="G21" s="9" t="s">
        <v>71</v>
      </c>
      <c r="H21" s="8" t="s">
        <v>23</v>
      </c>
    </row>
    <row r="22" spans="1:8">
      <c r="A22" s="1">
        <v>19412</v>
      </c>
      <c r="B22" s="1" t="s">
        <v>17</v>
      </c>
      <c r="C22" s="1" t="s">
        <v>18</v>
      </c>
      <c r="D22" s="7" t="s">
        <v>19</v>
      </c>
      <c r="E22" s="8" t="s">
        <v>72</v>
      </c>
      <c r="F22" s="9" t="s">
        <v>73</v>
      </c>
      <c r="G22" s="9" t="s">
        <v>74</v>
      </c>
      <c r="H22" s="8" t="s">
        <v>23</v>
      </c>
    </row>
    <row r="23" spans="1:8">
      <c r="A23" s="1">
        <v>19412</v>
      </c>
      <c r="B23" s="1" t="s">
        <v>17</v>
      </c>
      <c r="C23" s="1" t="s">
        <v>18</v>
      </c>
      <c r="D23" s="7" t="s">
        <v>19</v>
      </c>
      <c r="E23" s="8" t="s">
        <v>72</v>
      </c>
      <c r="F23" s="9" t="s">
        <v>75</v>
      </c>
      <c r="G23" s="9" t="s">
        <v>76</v>
      </c>
      <c r="H23" s="8" t="s">
        <v>55</v>
      </c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</sheetData>
  <dataValidations count="1">
    <dataValidation type="list" allowBlank="1" showErrorMessage="1" sqref="H2:H23">
      <formula1>"符合,部分符合,不符合,不适用"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lllll</cp:lastModifiedBy>
  <dcterms:created xsi:type="dcterms:W3CDTF">2023-05-12T11:15:00Z</dcterms:created>
  <dcterms:modified xsi:type="dcterms:W3CDTF">2025-01-16T04:02:16Z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B13594CFB519472E9F7B33790E4C44A5_12</vt:lpwstr>
  </property>
</Properties>
</file>